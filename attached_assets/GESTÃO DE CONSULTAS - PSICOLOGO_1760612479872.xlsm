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3.xml" ContentType="application/vnd.openxmlformats-officedocument.themeOverrid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theme/themeOverride4.xml" ContentType="application/vnd.openxmlformats-officedocument.themeOverrid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5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Priscila.Vilardi\Desktop\"/>
    </mc:Choice>
  </mc:AlternateContent>
  <xr:revisionPtr revIDLastSave="0" documentId="13_ncr:1_{7AFFB405-5899-426D-8402-09D9A215E668}" xr6:coauthVersionLast="47" xr6:coauthVersionMax="47" xr10:uidLastSave="{00000000-0000-0000-0000-000000000000}"/>
  <bookViews>
    <workbookView xWindow="-108" yWindow="-108" windowWidth="23256" windowHeight="12456" tabRatio="700" activeTab="1" xr2:uid="{00000000-000D-0000-FFFF-FFFF00000000}"/>
  </bookViews>
  <sheets>
    <sheet name="Menu" sheetId="2" r:id="rId1"/>
    <sheet name="Base" sheetId="1" r:id="rId2"/>
    <sheet name="Dinâmicas" sheetId="3" r:id="rId3"/>
    <sheet name="Apoio" sheetId="5" r:id="rId4"/>
    <sheet name="Dashboard" sheetId="7" r:id="rId5"/>
    <sheet name="Setores" sheetId="9" r:id="rId6"/>
    <sheet name="Instruções" sheetId="6" r:id="rId7"/>
  </sheets>
  <definedNames>
    <definedName name="dash1">Dashboard!$A$1</definedName>
    <definedName name="Menu">Menu!$A$1</definedName>
    <definedName name="SegmentaçãodeDados_Ano">#N/A</definedName>
    <definedName name="SegmentaçãodeDados_Mês">#N/A</definedName>
  </definedNames>
  <calcPr calcId="191029"/>
  <pivotCaches>
    <pivotCache cacheId="34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R8" i="3" l="1"/>
  <c r="BQ9" i="3" l="1"/>
  <c r="BT9" i="3" s="1"/>
  <c r="BT32" i="3" l="1"/>
  <c r="BT28" i="3"/>
  <c r="BT24" i="3"/>
  <c r="BT20" i="3"/>
  <c r="BT16" i="3"/>
  <c r="BT12" i="3"/>
  <c r="BT33" i="3"/>
  <c r="BT31" i="3"/>
  <c r="BT11" i="3"/>
  <c r="BT29" i="3"/>
  <c r="BT25" i="3"/>
  <c r="BT21" i="3"/>
  <c r="BT17" i="3"/>
  <c r="BT13" i="3"/>
  <c r="BT35" i="3"/>
  <c r="BT27" i="3"/>
  <c r="BT23" i="3"/>
  <c r="BT19" i="3"/>
  <c r="BT15" i="3"/>
  <c r="BT34" i="3"/>
  <c r="BT30" i="3"/>
  <c r="BT26" i="3"/>
  <c r="BT22" i="3"/>
  <c r="BT18" i="3"/>
  <c r="BT14" i="3"/>
  <c r="BT10" i="3"/>
  <c r="AV9" i="3"/>
  <c r="AW9" i="3" s="1"/>
  <c r="BL9" i="3"/>
  <c r="BL10" i="3"/>
  <c r="BL11" i="3"/>
  <c r="BL12" i="3"/>
  <c r="BL13" i="3"/>
  <c r="BL14" i="3"/>
  <c r="BL15" i="3"/>
  <c r="BL16" i="3"/>
  <c r="BL17" i="3"/>
  <c r="BL18" i="3"/>
  <c r="BL19" i="3"/>
  <c r="BL20" i="3"/>
  <c r="R12" i="3" l="1"/>
  <c r="AL9" i="3"/>
  <c r="AL10" i="3"/>
  <c r="AL11" i="3"/>
  <c r="AL12" i="3"/>
  <c r="AL13" i="3"/>
  <c r="AL14" i="3"/>
  <c r="AL15" i="3"/>
  <c r="AL16" i="3"/>
  <c r="AL17" i="3"/>
  <c r="AL18" i="3"/>
  <c r="AL19" i="3"/>
  <c r="AL20" i="3"/>
  <c r="AD9" i="3"/>
  <c r="AD10" i="3"/>
  <c r="AD11" i="3"/>
  <c r="S9" i="3"/>
  <c r="S10" i="3"/>
  <c r="K9" i="3"/>
  <c r="K10" i="3"/>
  <c r="AM18" i="3" l="1"/>
  <c r="AM14" i="3"/>
  <c r="AM17" i="3"/>
  <c r="AM13" i="3"/>
  <c r="AM9" i="3"/>
  <c r="AM20" i="3"/>
  <c r="AM16" i="3"/>
  <c r="AM12" i="3"/>
  <c r="AM19" i="3"/>
  <c r="AM15" i="3"/>
  <c r="AM11" i="3"/>
  <c r="AM10" i="3"/>
  <c r="AE11" i="3"/>
  <c r="AF11" i="3" s="1"/>
  <c r="AE10" i="3"/>
  <c r="AF10" i="3" s="1"/>
  <c r="AE9" i="3"/>
  <c r="AF9" i="3" s="1"/>
  <c r="L10" i="3"/>
  <c r="M10" i="3" s="1"/>
  <c r="T10" i="3"/>
  <c r="U10" i="3" s="1"/>
  <c r="T9" i="3"/>
  <c r="L9" i="3"/>
  <c r="M9" i="3" s="1"/>
  <c r="U9" i="3" l="1"/>
  <c r="S12" i="3"/>
</calcChain>
</file>

<file path=xl/sharedStrings.xml><?xml version="1.0" encoding="utf-8"?>
<sst xmlns="http://schemas.openxmlformats.org/spreadsheetml/2006/main" count="322" uniqueCount="157">
  <si>
    <t>Data da consulta</t>
  </si>
  <si>
    <t>Motivo</t>
  </si>
  <si>
    <t>Comparecimento</t>
  </si>
  <si>
    <t>DDD</t>
  </si>
  <si>
    <t>Empresa</t>
  </si>
  <si>
    <t>Ramo</t>
  </si>
  <si>
    <t>Necessidades</t>
  </si>
  <si>
    <t>Filtros e campos</t>
  </si>
  <si>
    <t>mês</t>
  </si>
  <si>
    <t>ano</t>
  </si>
  <si>
    <t>período</t>
  </si>
  <si>
    <t>motivo</t>
  </si>
  <si>
    <t>comparecimento</t>
  </si>
  <si>
    <t>especialidade</t>
  </si>
  <si>
    <t>Análise</t>
  </si>
  <si>
    <t>Análise de Pacientes</t>
  </si>
  <si>
    <t>Consulta</t>
  </si>
  <si>
    <t>Sim</t>
  </si>
  <si>
    <t>Não</t>
  </si>
  <si>
    <t>SP</t>
  </si>
  <si>
    <t>RJ</t>
  </si>
  <si>
    <t>ES</t>
  </si>
  <si>
    <t>MG</t>
  </si>
  <si>
    <t>PR</t>
  </si>
  <si>
    <t>SC</t>
  </si>
  <si>
    <t>RS</t>
  </si>
  <si>
    <t>DF</t>
  </si>
  <si>
    <t>GO</t>
  </si>
  <si>
    <t>TO</t>
  </si>
  <si>
    <t>MT</t>
  </si>
  <si>
    <t>MS</t>
  </si>
  <si>
    <t>AC</t>
  </si>
  <si>
    <t>RO</t>
  </si>
  <si>
    <t>BA</t>
  </si>
  <si>
    <t>SE</t>
  </si>
  <si>
    <t>PE</t>
  </si>
  <si>
    <t>AL</t>
  </si>
  <si>
    <t>PB</t>
  </si>
  <si>
    <t>RN</t>
  </si>
  <si>
    <t>CE</t>
  </si>
  <si>
    <t>PI</t>
  </si>
  <si>
    <t>PA</t>
  </si>
  <si>
    <t>AM</t>
  </si>
  <si>
    <t>RR</t>
  </si>
  <si>
    <t>AP</t>
  </si>
  <si>
    <t>MA</t>
  </si>
  <si>
    <t>Período</t>
  </si>
  <si>
    <t>Manhã</t>
  </si>
  <si>
    <t>Tarde</t>
  </si>
  <si>
    <t>Mês</t>
  </si>
  <si>
    <t>Ano</t>
  </si>
  <si>
    <t>AGO</t>
  </si>
  <si>
    <t>JUN</t>
  </si>
  <si>
    <t>JUL</t>
  </si>
  <si>
    <t>MAI</t>
  </si>
  <si>
    <t>NOV</t>
  </si>
  <si>
    <t>JAN</t>
  </si>
  <si>
    <t>OUT</t>
  </si>
  <si>
    <t>FEV</t>
  </si>
  <si>
    <t>ABR</t>
  </si>
  <si>
    <t>MAR</t>
  </si>
  <si>
    <t>DEZ</t>
  </si>
  <si>
    <t>SET</t>
  </si>
  <si>
    <t>Horário consulta</t>
  </si>
  <si>
    <t>Análise Geral</t>
  </si>
  <si>
    <t>Pacientes que Compareceram x Não Compareceram (Qtde e %)</t>
  </si>
  <si>
    <t>Sigla</t>
  </si>
  <si>
    <t>São Paulo</t>
  </si>
  <si>
    <t>Rio de Janeiro</t>
  </si>
  <si>
    <t>Espírito Santo</t>
  </si>
  <si>
    <t>Minas Gerais</t>
  </si>
  <si>
    <t>Paraná</t>
  </si>
  <si>
    <t>Santa Catarina</t>
  </si>
  <si>
    <t>Rio Grande do Sul</t>
  </si>
  <si>
    <t>Distrito Federal</t>
  </si>
  <si>
    <t>Goiás</t>
  </si>
  <si>
    <t>Tocantins</t>
  </si>
  <si>
    <t>Mato Grosso</t>
  </si>
  <si>
    <t>Mato Grosso do Sul</t>
  </si>
  <si>
    <t>Acre</t>
  </si>
  <si>
    <t>Rondônia</t>
  </si>
  <si>
    <t>Bahia</t>
  </si>
  <si>
    <t>Sergipe</t>
  </si>
  <si>
    <t>Pernambuco</t>
  </si>
  <si>
    <t>Alagoas</t>
  </si>
  <si>
    <t>Paraíba</t>
  </si>
  <si>
    <t>Rio Grande do Norte</t>
  </si>
  <si>
    <t>Ceará</t>
  </si>
  <si>
    <t>Piauí</t>
  </si>
  <si>
    <t>Pará</t>
  </si>
  <si>
    <t>Amazonas</t>
  </si>
  <si>
    <t>Roraima</t>
  </si>
  <si>
    <t>Amapá</t>
  </si>
  <si>
    <t>Maranhão</t>
  </si>
  <si>
    <t>Total de Consultas Marcadas</t>
  </si>
  <si>
    <t>Atendimentos por Período (Qtde e %)</t>
  </si>
  <si>
    <t>Atendimentos por Especialidade (Qtde e %)</t>
  </si>
  <si>
    <t>Atendimentos por Motivo (Qtde e %)</t>
  </si>
  <si>
    <t>Evolução Mensal de Consultas</t>
  </si>
  <si>
    <t>TOOLTIP MAPA</t>
  </si>
  <si>
    <t>Filtro Principal</t>
  </si>
  <si>
    <t>Rótulos de Linha</t>
  </si>
  <si>
    <t>Total Consultas Marcadas</t>
  </si>
  <si>
    <t>Contagem de Mês</t>
  </si>
  <si>
    <t>Atendimentos por Período</t>
  </si>
  <si>
    <t>Consultas Marcadas</t>
  </si>
  <si>
    <t>Qtde por Período</t>
  </si>
  <si>
    <t>Qtde</t>
  </si>
  <si>
    <t>%</t>
  </si>
  <si>
    <t>Contagem de Comparecimento</t>
  </si>
  <si>
    <t>Compareceu</t>
  </si>
  <si>
    <t>Atendimentos por Especialidade</t>
  </si>
  <si>
    <t>Atendimentos por Motivo</t>
  </si>
  <si>
    <t>Entrega de Exames</t>
  </si>
  <si>
    <t>Pedido de Receita</t>
  </si>
  <si>
    <t>Máximo</t>
  </si>
  <si>
    <t>% de Participação sobre o Total Geral</t>
  </si>
  <si>
    <t>% de Comparecimento</t>
  </si>
  <si>
    <t>Estado Selecionado</t>
  </si>
  <si>
    <t>TOP 3 - Especialidades</t>
  </si>
  <si>
    <t>Total de Consultas</t>
  </si>
  <si>
    <t>% do Total</t>
  </si>
  <si>
    <t>Contagem de Período</t>
  </si>
  <si>
    <t>Estados</t>
  </si>
  <si>
    <t>Escolhido</t>
  </si>
  <si>
    <t>ANÁLISE GERAL</t>
  </si>
  <si>
    <t>Mapa</t>
  </si>
  <si>
    <t>NEXT IMPLEMENTOS</t>
  </si>
  <si>
    <t>METALÚRGICA</t>
  </si>
  <si>
    <t>Total de Consultas Marcadas no setor</t>
  </si>
  <si>
    <t>Setores</t>
  </si>
  <si>
    <t>Setor</t>
  </si>
  <si>
    <t>SSMA</t>
  </si>
  <si>
    <t>setor</t>
  </si>
  <si>
    <t>(vazio)</t>
  </si>
  <si>
    <t>Consultas Marcadas por Setor</t>
  </si>
  <si>
    <t>Comparecimento por Setor</t>
  </si>
  <si>
    <t>Período por Setor</t>
  </si>
  <si>
    <t>ANÁLISE SETORIAL</t>
  </si>
  <si>
    <t>Motivo por setor</t>
  </si>
  <si>
    <t xml:space="preserve">                               BASE DE DADOS</t>
  </si>
  <si>
    <t>Setor Selecionado</t>
  </si>
  <si>
    <r>
      <t xml:space="preserve">                        </t>
    </r>
    <r>
      <rPr>
        <sz val="24"/>
        <color theme="0"/>
        <rFont val="Avenir Next LT Pro Light"/>
        <family val="2"/>
      </rPr>
      <t xml:space="preserve">         </t>
    </r>
    <r>
      <rPr>
        <b/>
        <sz val="24"/>
        <color theme="0"/>
        <rFont val="Avenir Next LT Pro Light"/>
        <family val="2"/>
      </rPr>
      <t xml:space="preserve">        DINÂMICAS</t>
    </r>
  </si>
  <si>
    <r>
      <t xml:space="preserve">      </t>
    </r>
    <r>
      <rPr>
        <b/>
        <sz val="24"/>
        <color theme="9"/>
        <rFont val="Avenir Next LT Pro Light"/>
        <family val="2"/>
      </rPr>
      <t xml:space="preserve">          </t>
    </r>
    <r>
      <rPr>
        <b/>
        <sz val="24"/>
        <color theme="0"/>
        <rFont val="Avenir Next LT Pro Light"/>
        <family val="2"/>
      </rPr>
      <t xml:space="preserve">              APOIO</t>
    </r>
  </si>
  <si>
    <r>
      <t xml:space="preserve">                   </t>
    </r>
    <r>
      <rPr>
        <b/>
        <sz val="24"/>
        <color theme="9"/>
        <rFont val="Avenir Next LT Pro Light"/>
        <family val="2"/>
      </rPr>
      <t xml:space="preserve"> </t>
    </r>
    <r>
      <rPr>
        <b/>
        <sz val="24"/>
        <color theme="0"/>
        <rFont val="Avenir Next LT Pro Light"/>
        <family val="2"/>
      </rPr>
      <t xml:space="preserve">     SETORES</t>
    </r>
  </si>
  <si>
    <t>tarde</t>
  </si>
  <si>
    <t>corte e dobra</t>
  </si>
  <si>
    <t>Motivo de Procura</t>
  </si>
  <si>
    <t>Emocional/Pessoal</t>
  </si>
  <si>
    <t>Emocional/Trabalho</t>
  </si>
  <si>
    <t>Sexo</t>
  </si>
  <si>
    <t>Feminino</t>
  </si>
  <si>
    <t>Masculino</t>
  </si>
  <si>
    <t>Idade</t>
  </si>
  <si>
    <t>Código Prontuário</t>
  </si>
  <si>
    <t>Analisar quantas pessoas compareceram em consultas x quantas não compareceram. Separar a análise por %  e por número de pacientes. Criar análise por setor e motivo. Gerar análise por período: manhã e tarde.</t>
  </si>
  <si>
    <t>Análise Setorial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</si>
</sst>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h]:mm:ss;@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1"/>
      <color theme="0"/>
      <name val="Segoe UI"/>
      <family val="2"/>
    </font>
    <font>
      <sz val="24"/>
      <color theme="9"/>
      <name val="Avenir Next LT Pro Light"/>
      <family val="2"/>
    </font>
    <font>
      <sz val="11"/>
      <color theme="1"/>
      <name val="Avenir Next LT Pro Light"/>
      <family val="2"/>
    </font>
    <font>
      <b/>
      <sz val="11"/>
      <color theme="1"/>
      <name val="Segoe UI"/>
      <family val="2"/>
    </font>
    <font>
      <b/>
      <sz val="11"/>
      <color theme="0"/>
      <name val="Avenir Next LT Pro Light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4"/>
      <color theme="9"/>
      <name val="Avenir Next LT Pro Light"/>
      <family val="2"/>
    </font>
    <font>
      <sz val="11"/>
      <color theme="0"/>
      <name val="Segoe UI"/>
      <family val="2"/>
    </font>
    <font>
      <b/>
      <sz val="24"/>
      <color theme="0"/>
      <name val="Avenir Next LT Pro Light"/>
      <family val="2"/>
    </font>
    <font>
      <sz val="20"/>
      <color theme="0"/>
      <name val="Avenir Next LT Pro"/>
      <family val="2"/>
    </font>
    <font>
      <sz val="24"/>
      <color theme="0"/>
      <name val="Avenir Next LT Pro Light"/>
      <family val="2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9" tint="0.8999908444471571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69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/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3" fillId="4" borderId="0" xfId="0" applyFont="1" applyFill="1" applyAlignment="1">
      <alignment vertical="center"/>
    </xf>
    <xf numFmtId="14" fontId="3" fillId="4" borderId="0" xfId="0" applyNumberFormat="1" applyFont="1" applyFill="1" applyAlignment="1">
      <alignment vertical="center"/>
    </xf>
    <xf numFmtId="14" fontId="3" fillId="0" borderId="0" xfId="0" applyNumberFormat="1" applyFont="1" applyAlignment="1">
      <alignment vertical="center"/>
    </xf>
    <xf numFmtId="0" fontId="3" fillId="0" borderId="0" xfId="0" applyNumberFormat="1" applyFont="1" applyAlignment="1">
      <alignment vertical="center"/>
    </xf>
    <xf numFmtId="14" fontId="3" fillId="4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20" fontId="3" fillId="4" borderId="0" xfId="0" applyNumberFormat="1" applyFont="1" applyFill="1" applyAlignment="1">
      <alignment horizontal="center" vertical="center"/>
    </xf>
    <xf numFmtId="20" fontId="3" fillId="0" borderId="0" xfId="0" applyNumberFormat="1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1" fontId="3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4" fontId="6" fillId="0" borderId="0" xfId="0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20" fontId="6" fillId="0" borderId="0" xfId="0" applyNumberFormat="1" applyFont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2" fillId="0" borderId="0" xfId="0" applyFont="1" applyAlignment="1">
      <alignment horizontal="center"/>
    </xf>
    <xf numFmtId="0" fontId="7" fillId="0" borderId="0" xfId="0" applyFont="1" applyAlignment="1">
      <alignment vertical="center"/>
    </xf>
    <xf numFmtId="0" fontId="8" fillId="4" borderId="0" xfId="0" applyFont="1" applyFill="1" applyAlignment="1">
      <alignment horizontal="center" vertical="center"/>
    </xf>
    <xf numFmtId="0" fontId="0" fillId="0" borderId="0" xfId="0" pivotButton="1"/>
    <xf numFmtId="1" fontId="0" fillId="0" borderId="0" xfId="0" applyNumberFormat="1" applyAlignment="1">
      <alignment horizontal="left"/>
    </xf>
    <xf numFmtId="0" fontId="0" fillId="0" borderId="0" xfId="0" applyNumberFormat="1"/>
    <xf numFmtId="0" fontId="2" fillId="5" borderId="0" xfId="0" applyFont="1" applyFill="1" applyAlignment="1">
      <alignment vertical="center"/>
    </xf>
    <xf numFmtId="0" fontId="0" fillId="0" borderId="0" xfId="0" applyAlignment="1">
      <alignment horizontal="left"/>
    </xf>
    <xf numFmtId="9" fontId="6" fillId="0" borderId="0" xfId="1" applyFont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9" fontId="6" fillId="0" borderId="0" xfId="0" applyNumberFormat="1" applyFont="1" applyAlignment="1">
      <alignment vertical="center"/>
    </xf>
    <xf numFmtId="9" fontId="6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0" fontId="6" fillId="0" borderId="0" xfId="0" pivotButton="1" applyFont="1" applyAlignment="1">
      <alignment vertical="center"/>
    </xf>
    <xf numFmtId="0" fontId="8" fillId="4" borderId="0" xfId="0" pivotButton="1" applyFont="1" applyFill="1" applyAlignment="1">
      <alignment horizontal="center" vertical="center"/>
    </xf>
    <xf numFmtId="0" fontId="8" fillId="4" borderId="0" xfId="0" applyFont="1" applyFill="1" applyAlignment="1">
      <alignment vertical="center"/>
    </xf>
    <xf numFmtId="0" fontId="1" fillId="5" borderId="0" xfId="0" applyFont="1" applyFill="1" applyAlignment="1">
      <alignment vertical="center"/>
    </xf>
    <xf numFmtId="9" fontId="0" fillId="0" borderId="0" xfId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7" borderId="0" xfId="0" applyFont="1" applyFill="1" applyAlignment="1">
      <alignment vertical="center"/>
    </xf>
    <xf numFmtId="0" fontId="12" fillId="7" borderId="0" xfId="0" applyFont="1" applyFill="1" applyAlignment="1">
      <alignment vertical="center"/>
    </xf>
    <xf numFmtId="0" fontId="13" fillId="7" borderId="0" xfId="0" applyFont="1" applyFill="1" applyAlignment="1">
      <alignment vertical="center"/>
    </xf>
    <xf numFmtId="0" fontId="14" fillId="7" borderId="0" xfId="0" applyFont="1" applyFill="1" applyAlignment="1">
      <alignment horizontal="center" vertical="center"/>
    </xf>
    <xf numFmtId="20" fontId="12" fillId="7" borderId="0" xfId="0" applyNumberFormat="1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14" fontId="12" fillId="7" borderId="0" xfId="0" applyNumberFormat="1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7" borderId="0" xfId="0" applyFont="1" applyFill="1" applyAlignment="1">
      <alignment vertical="center"/>
    </xf>
    <xf numFmtId="0" fontId="3" fillId="0" borderId="0" xfId="0" applyFont="1" applyAlignment="1">
      <alignment horizontal="center"/>
    </xf>
    <xf numFmtId="0" fontId="8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</cellXfs>
  <cellStyles count="2">
    <cellStyle name="Normal" xfId="0" builtinId="0"/>
    <cellStyle name="Porcentagem" xfId="1" builtinId="5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 Ligh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 Ligh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 Ligh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 Ligh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 Light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 Light"/>
        <family val="2"/>
        <scheme val="none"/>
      </font>
      <numFmt numFmtId="164" formatCode="[h]:mm:ss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 Light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 Light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 Light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 Ligh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 Ligh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venir Next LT Pro Light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0"/>
        <name val="Avenir Next LT Pro Light"/>
        <family val="2"/>
        <scheme val="none"/>
      </font>
      <fill>
        <patternFill>
          <bgColor theme="4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AB_Health" pivot="0" table="0" count="10" xr9:uid="{A0BB703C-DD3E-490E-BAEC-ED9DA1DB5CC6}">
      <tableStyleElement type="wholeTable" dxfId="19"/>
      <tableStyleElement type="headerRow" dxfId="18"/>
    </tableStyle>
  </tableStyles>
  <colors>
    <mruColors>
      <color rgb="FFFFFFFF"/>
      <color rgb="FF026873"/>
      <color rgb="FFD4FAFE"/>
      <color rgb="FF2CB8C5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/>
          </font>
          <fill>
            <patternFill patternType="solid">
              <fgColor auto="1"/>
              <bgColor theme="8"/>
            </patternFill>
          </fill>
          <border>
            <left style="thin">
              <color theme="0"/>
            </left>
            <right style="thin">
              <color theme="0"/>
            </right>
            <top style="thin">
              <color theme="0"/>
            </top>
            <bottom style="thin">
              <color theme="0"/>
            </bottom>
            <vertical/>
            <horizontal/>
          </border>
        </dxf>
        <dxf>
          <font>
            <color theme="4"/>
          </font>
          <fill>
            <patternFill patternType="solid">
              <fgColor auto="1"/>
              <bgColor theme="8"/>
            </patternFill>
          </fill>
          <border>
            <left style="thin">
              <color theme="0"/>
            </left>
            <right style="thin">
              <color theme="0"/>
            </right>
            <top style="thin">
              <color theme="0"/>
            </top>
            <bottom style="thin">
              <color theme="0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b/>
            <i val="0"/>
            <color theme="4"/>
          </font>
          <fill>
            <patternFill patternType="solid">
              <fgColor theme="4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theme="4"/>
            </patternFill>
          </fill>
          <border>
            <left style="thin">
              <color theme="0"/>
            </left>
            <right style="thin">
              <color theme="0"/>
            </right>
            <top style="thin">
              <color theme="0"/>
            </top>
            <bottom style="thin">
              <color theme="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AB_Health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6.png"/><Relationship Id="rId2" Type="http://schemas.microsoft.com/office/2011/relationships/chartColorStyle" Target="colors7.xml"/><Relationship Id="rId1" Type="http://schemas.microsoft.com/office/2011/relationships/chartStyle" Target="style7.xml"/><Relationship Id="rId4" Type="http://schemas.openxmlformats.org/officeDocument/2006/relationships/image" Target="../media/image47.png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3.png"/><Relationship Id="rId1" Type="http://schemas.openxmlformats.org/officeDocument/2006/relationships/themeOverride" Target="../theme/themeOverrid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9.png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0.png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1.png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2.png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3.png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5.png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6.png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7.png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8.png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0.png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1.png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2.png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4.png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6.png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7.png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71.png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C17-4D94-A8E7-736072AF978E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3C17-4D94-A8E7-736072AF978E}"/>
              </c:ext>
            </c:extLst>
          </c:dPt>
          <c:val>
            <c:numRef>
              <c:f>Dinâmicas!$L$9:$M$9</c:f>
              <c:numCache>
                <c:formatCode>0%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17-4D94-A8E7-736072AF9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E78-4D56-B910-A4AF8CB588AD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E78-4D56-B910-A4AF8CB588AD}"/>
              </c:ext>
            </c:extLst>
          </c:dPt>
          <c:val>
            <c:numRef>
              <c:f>Dinâmicas!$L$10:$M$10</c:f>
              <c:numCache>
                <c:formatCode>0%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78-4D56-B910-A4AF8CB58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[GESTÃO DE CONSULTAS - PSICOLOGO.xlsm]Dinâmicas!Tabela dinâmica5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FFFFFF">
                <a:alpha val="69804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/>
                  </a:solidFill>
                  <a:latin typeface="Avenir Next LT Pro Light" panose="020B0304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90000"/>
              <a:lumOff val="1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29581632001505576"/>
          <c:y val="5.0925925925925923E-2"/>
          <c:w val="0.66577138805152569"/>
          <c:h val="0.89814814814814814"/>
        </c:manualLayout>
      </c:layout>
      <c:barChart>
        <c:barDir val="bar"/>
        <c:grouping val="clustered"/>
        <c:varyColors val="0"/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433072032"/>
        <c:axId val="433076296"/>
      </c:barChart>
      <c:catAx>
        <c:axId val="4330720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5">
                    <a:lumMod val="25000"/>
                  </a:schemeClr>
                </a:solidFill>
                <a:latin typeface="Avenir Next LT Pro Light" panose="020B0304020202020204" pitchFamily="34" charset="0"/>
                <a:ea typeface="+mn-ea"/>
                <a:cs typeface="+mn-cs"/>
              </a:defRPr>
            </a:pPr>
            <a:endParaRPr lang="pt-BR"/>
          </a:p>
        </c:txPr>
        <c:crossAx val="433076296"/>
        <c:crosses val="autoZero"/>
        <c:auto val="1"/>
        <c:lblAlgn val="ctr"/>
        <c:lblOffset val="100"/>
        <c:noMultiLvlLbl val="0"/>
      </c:catAx>
      <c:valAx>
        <c:axId val="4330762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3307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46C-4B6A-AB37-50EEC5780509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46C-4B6A-AB37-50EEC5780509}"/>
              </c:ext>
            </c:extLst>
          </c:dPt>
          <c:val>
            <c:numRef>
              <c:f>Dinâmicas!$AE$9:$AF$9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46C-4B6A-AB37-50EEC5780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E78-4D56-B910-A4AF8CB588AD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E78-4D56-B910-A4AF8CB588AD}"/>
              </c:ext>
            </c:extLst>
          </c:dPt>
          <c:val>
            <c:numRef>
              <c:f>Dinâmicas!$AE$10:$AF$10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78-4D56-B910-A4AF8CB58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E78-4D56-B910-A4AF8CB588AD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E78-4D56-B910-A4AF8CB588AD}"/>
              </c:ext>
            </c:extLst>
          </c:dPt>
          <c:val>
            <c:numRef>
              <c:f>Dinâmicas!$AE$11:$AF$11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78-4D56-B910-A4AF8CB58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038413878562579E-2"/>
          <c:y val="8.6862106406080344E-2"/>
          <c:w val="0.96592317224287483"/>
          <c:h val="0.7771444082519002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5"/>
              </a:solidFill>
              <a:ln w="19050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rgbClr val="FFFFFF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accent1"/>
                    </a:solidFill>
                    <a:latin typeface="Avenir Next LT Pro Light" panose="020B0304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Dinâmicas!$AK$9:$AK$20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Dinâmicas!$AL$9:$AL$20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D1F-4157-8CD4-14AE832B6E7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dLbls>
            <c:delete val="1"/>
          </c:dLbls>
          <c:cat>
            <c:strRef>
              <c:f>Dinâmicas!$AK$9:$AK$20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Dinâmicas!$AM$9:$AM$20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1F-4157-8CD4-14AE832B6E7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43354632"/>
        <c:axId val="543347416"/>
      </c:lineChart>
      <c:catAx>
        <c:axId val="543354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5">
                    <a:lumMod val="25000"/>
                  </a:schemeClr>
                </a:solidFill>
                <a:latin typeface="Avenir Next LT Pro Light" panose="020B0304020202020204" pitchFamily="34" charset="0"/>
                <a:ea typeface="+mn-ea"/>
                <a:cs typeface="+mn-cs"/>
              </a:defRPr>
            </a:pPr>
            <a:endParaRPr lang="pt-BR"/>
          </a:p>
        </c:txPr>
        <c:crossAx val="543347416"/>
        <c:crosses val="autoZero"/>
        <c:auto val="1"/>
        <c:lblAlgn val="ctr"/>
        <c:lblOffset val="100"/>
        <c:noMultiLvlLbl val="0"/>
      </c:catAx>
      <c:valAx>
        <c:axId val="5433474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43354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ackScale"/>
          </c:pictureOptions>
          <c:val>
            <c:numRef>
              <c:f>Dinâmicas!$S$13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3C-4696-8609-32F352F2739F}"/>
            </c:ext>
          </c:extLst>
        </c:ser>
        <c:ser>
          <c:idx val="0"/>
          <c:order val="1"/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ackScale"/>
          </c:pictureOptions>
          <c:val>
            <c:numRef>
              <c:f>Dinâmicas!$S$12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3C-4696-8609-32F352F27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32913392"/>
        <c:axId val="532913720"/>
      </c:barChart>
      <c:catAx>
        <c:axId val="532913392"/>
        <c:scaling>
          <c:orientation val="minMax"/>
        </c:scaling>
        <c:delete val="1"/>
        <c:axPos val="b"/>
        <c:majorTickMark val="none"/>
        <c:minorTickMark val="none"/>
        <c:tickLblPos val="nextTo"/>
        <c:crossAx val="532913720"/>
        <c:crosses val="autoZero"/>
        <c:auto val="1"/>
        <c:lblAlgn val="ctr"/>
        <c:lblOffset val="100"/>
        <c:noMultiLvlLbl val="0"/>
      </c:catAx>
      <c:valAx>
        <c:axId val="532913720"/>
        <c:scaling>
          <c:orientation val="minMax"/>
          <c:max val="1"/>
          <c:min val="0"/>
        </c:scaling>
        <c:delete val="1"/>
        <c:axPos val="l"/>
        <c:numFmt formatCode="0%" sourceLinked="1"/>
        <c:majorTickMark val="none"/>
        <c:minorTickMark val="none"/>
        <c:tickLblPos val="nextTo"/>
        <c:crossAx val="53291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1.7038413878562579E-2"/>
          <c:y val="0.21291234192316869"/>
          <c:w val="0.96592317224287483"/>
          <c:h val="0.59722023383440714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5"/>
              </a:solidFill>
              <a:ln w="19050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rgbClr val="FFFFFF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1"/>
                    </a:solidFill>
                    <a:latin typeface="Avenir Next LT Pro Light" panose="020B0304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Dinâmicas!$BK$9:$BK$20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Dinâmicas!$BL$9:$BL$20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D1F-4157-8CD4-14AE832B6E7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dLbls>
            <c:delete val="1"/>
          </c:dLbls>
          <c:cat>
            <c:strRef>
              <c:f>Dinâmicas!$BK$9:$BK$20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Dinâmicas!$BM$9:$BM$20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1F-4157-8CD4-14AE832B6E7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43354632"/>
        <c:axId val="543347416"/>
      </c:lineChart>
      <c:catAx>
        <c:axId val="543354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1"/>
                </a:solidFill>
                <a:latin typeface="Avenir Next LT Pro Light" panose="020B0304020202020204" pitchFamily="34" charset="0"/>
                <a:ea typeface="+mn-ea"/>
                <a:cs typeface="+mn-cs"/>
              </a:defRPr>
            </a:pPr>
            <a:endParaRPr lang="pt-BR"/>
          </a:p>
        </c:txPr>
        <c:crossAx val="543347416"/>
        <c:crosses val="autoZero"/>
        <c:auto val="1"/>
        <c:lblAlgn val="ctr"/>
        <c:lblOffset val="100"/>
        <c:noMultiLvlLbl val="0"/>
      </c:catAx>
      <c:valAx>
        <c:axId val="5433474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43354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[GESTÃO DE CONSULTAS - PSICOLOGO.xlsm]Dinâmicas!Tabela dinâmica10</c:name>
    <c:fmtId val="1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FF">
                <a:alpha val="69804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1"/>
                  </a:solidFill>
                  <a:latin typeface="Avenir Next LT Pro Light" panose="020B0304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605431832"/>
        <c:axId val="605427240"/>
      </c:barChart>
      <c:catAx>
        <c:axId val="6054318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1"/>
                </a:solidFill>
                <a:latin typeface="Avenir Next LT Pro Light" panose="020B0304020202020204" pitchFamily="34" charset="0"/>
                <a:ea typeface="+mn-ea"/>
                <a:cs typeface="+mn-cs"/>
              </a:defRPr>
            </a:pPr>
            <a:endParaRPr lang="pt-BR"/>
          </a:p>
        </c:txPr>
        <c:crossAx val="605427240"/>
        <c:crosses val="autoZero"/>
        <c:auto val="1"/>
        <c:lblAlgn val="ctr"/>
        <c:lblOffset val="100"/>
        <c:noMultiLvlLbl val="0"/>
      </c:catAx>
      <c:valAx>
        <c:axId val="6054272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05431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[GESTÃO DE CONSULTAS - PSICOLOGO.xlsm]Dinâmicas!Tabela dinâmica13</c:name>
    <c:fmtId val="1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FF">
                <a:alpha val="69804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1"/>
                  </a:solidFill>
                  <a:latin typeface="Avenir Next LT Pro Light" panose="020B0304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586836603051737"/>
          <c:y val="0.13480392156862744"/>
          <c:w val="0.61288869611637531"/>
          <c:h val="0.730392156862745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Dinâmicas!$AZ$8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accent1"/>
                    </a:solidFill>
                    <a:latin typeface="Avenir Next LT Pro Light" panose="020B0304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Dinâmicas!$AY$9</c:f>
              <c:strCache>
                <c:ptCount val="1"/>
                <c:pt idx="0">
                  <c:v>Sim</c:v>
                </c:pt>
              </c:strCache>
            </c:strRef>
          </c:cat>
          <c:val>
            <c:numRef>
              <c:f>Dinâmicas!$AZ$9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17-4F6A-9BA7-971A87581CA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535906304"/>
        <c:axId val="535906632"/>
      </c:barChart>
      <c:catAx>
        <c:axId val="5359063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1"/>
                </a:solidFill>
                <a:latin typeface="Avenir Next LT Pro Light" panose="020B0304020202020204" pitchFamily="34" charset="0"/>
                <a:ea typeface="+mn-ea"/>
                <a:cs typeface="+mn-cs"/>
              </a:defRPr>
            </a:pPr>
            <a:endParaRPr lang="pt-BR"/>
          </a:p>
        </c:txPr>
        <c:crossAx val="535906632"/>
        <c:crosses val="autoZero"/>
        <c:auto val="1"/>
        <c:lblAlgn val="ctr"/>
        <c:lblOffset val="100"/>
        <c:noMultiLvlLbl val="0"/>
      </c:catAx>
      <c:valAx>
        <c:axId val="5359066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3590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[GESTÃO DE CONSULTAS - PSICOLOGO.xlsm]Dinâmicas!Tabela dinâmica14</c:name>
    <c:fmtId val="1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FF">
                <a:alpha val="69804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1"/>
                  </a:solidFill>
                  <a:latin typeface="Avenir Next LT Pro Light" panose="020B0304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FF">
                <a:alpha val="69804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1"/>
                  </a:solidFill>
                  <a:latin typeface="Avenir Next LT Pro Light" panose="020B0304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FF">
                <a:alpha val="69804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1"/>
                  </a:solidFill>
                  <a:latin typeface="Avenir Next LT Pro Light" panose="020B0304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5783609044282311"/>
          <c:y val="0.12956419316843346"/>
          <c:w val="0.58100183004647366"/>
          <c:h val="0.7408716136631331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Dinâmicas!$BC$8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accent1"/>
                    </a:solidFill>
                    <a:latin typeface="Avenir Next LT Pro Light" panose="020B0304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Dinâmicas!$BB$9:$BB$11</c:f>
              <c:strCache>
                <c:ptCount val="3"/>
                <c:pt idx="0">
                  <c:v>(vazio)</c:v>
                </c:pt>
                <c:pt idx="1">
                  <c:v>tarde</c:v>
                </c:pt>
                <c:pt idx="2">
                  <c:v>Manhã</c:v>
                </c:pt>
              </c:strCache>
            </c:strRef>
          </c:cat>
          <c:val>
            <c:numRef>
              <c:f>Dinâmicas!$BC$9:$BC$11</c:f>
              <c:numCache>
                <c:formatCode>General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0B-476F-B515-4C100B248F4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498442752"/>
        <c:axId val="498440784"/>
      </c:barChart>
      <c:catAx>
        <c:axId val="498442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1"/>
                </a:solidFill>
                <a:latin typeface="Avenir Next LT Pro Light" panose="020B0304020202020204" pitchFamily="34" charset="0"/>
                <a:ea typeface="+mn-ea"/>
                <a:cs typeface="+mn-cs"/>
              </a:defRPr>
            </a:pPr>
            <a:endParaRPr lang="pt-BR"/>
          </a:p>
        </c:txPr>
        <c:crossAx val="498440784"/>
        <c:crosses val="autoZero"/>
        <c:auto val="1"/>
        <c:lblAlgn val="ctr"/>
        <c:lblOffset val="100"/>
        <c:noMultiLvlLbl val="0"/>
      </c:catAx>
      <c:valAx>
        <c:axId val="4984407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98442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[GESTÃO DE CONSULTAS - PSICOLOGO.xlsm]Dinâmicas!Tabela dinâmica15</c:name>
    <c:fmtId val="1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FF">
                <a:alpha val="69804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1"/>
                  </a:solidFill>
                  <a:latin typeface="Avenir Next LT Pro Light" panose="020B0304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FF">
                <a:alpha val="69804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1"/>
                  </a:solidFill>
                  <a:latin typeface="Avenir Next LT Pro Light" panose="020B0304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FF">
                <a:alpha val="69804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1"/>
                  </a:solidFill>
                  <a:latin typeface="Avenir Next LT Pro Light" panose="020B0304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604429864"/>
        <c:axId val="421569832"/>
      </c:barChart>
      <c:catAx>
        <c:axId val="6044298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1"/>
                </a:solidFill>
                <a:latin typeface="Avenir Next LT Pro Light" panose="020B0304020202020204" pitchFamily="34" charset="0"/>
                <a:ea typeface="+mn-ea"/>
                <a:cs typeface="+mn-cs"/>
              </a:defRPr>
            </a:pPr>
            <a:endParaRPr lang="pt-BR"/>
          </a:p>
        </c:txPr>
        <c:crossAx val="421569832"/>
        <c:crosses val="autoZero"/>
        <c:auto val="1"/>
        <c:lblAlgn val="ctr"/>
        <c:lblOffset val="100"/>
        <c:noMultiLvlLbl val="0"/>
      </c:catAx>
      <c:valAx>
        <c:axId val="4215698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04429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Dinâmicas!$BS$34</c:f>
              <c:strCache>
                <c:ptCount val="1"/>
                <c:pt idx="0">
                  <c:v>SP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>
                <a:glow rad="63500">
                  <a:schemeClr val="accent5">
                    <a:satMod val="175000"/>
                    <a:alpha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2-C732-48B6-AD04-7FF3FEC12F3C}"/>
              </c:ext>
            </c:extLst>
          </c:dPt>
          <c:val>
            <c:numRef>
              <c:f>Dinâmicas!$BT$34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32-48B6-AD04-7FF3FEC12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599234360"/>
        <c:axId val="599231080"/>
      </c:barChart>
      <c:catAx>
        <c:axId val="599234360"/>
        <c:scaling>
          <c:orientation val="minMax"/>
        </c:scaling>
        <c:delete val="1"/>
        <c:axPos val="b"/>
        <c:majorTickMark val="none"/>
        <c:minorTickMark val="none"/>
        <c:tickLblPos val="nextTo"/>
        <c:crossAx val="599231080"/>
        <c:crosses val="autoZero"/>
        <c:auto val="1"/>
        <c:lblAlgn val="ctr"/>
        <c:lblOffset val="100"/>
        <c:noMultiLvlLbl val="0"/>
      </c:catAx>
      <c:valAx>
        <c:axId val="599231080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599234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Dinâmicas!$BS$19</c:f>
              <c:strCache>
                <c:ptCount val="1"/>
                <c:pt idx="0">
                  <c:v>MG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>
                <a:glow rad="63500">
                  <a:schemeClr val="accent5">
                    <a:satMod val="175000"/>
                    <a:alpha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2-7843-425A-BFEF-432BD82F6ECC}"/>
              </c:ext>
            </c:extLst>
          </c:dPt>
          <c:val>
            <c:numRef>
              <c:f>Dinâmicas!$BT$19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43-425A-BFEF-432BD82F6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603210808"/>
        <c:axId val="603212776"/>
      </c:barChart>
      <c:catAx>
        <c:axId val="603210808"/>
        <c:scaling>
          <c:orientation val="minMax"/>
        </c:scaling>
        <c:delete val="1"/>
        <c:axPos val="b"/>
        <c:majorTickMark val="none"/>
        <c:minorTickMark val="none"/>
        <c:tickLblPos val="nextTo"/>
        <c:crossAx val="603212776"/>
        <c:crosses val="autoZero"/>
        <c:auto val="1"/>
        <c:lblAlgn val="ctr"/>
        <c:lblOffset val="100"/>
        <c:noMultiLvlLbl val="0"/>
      </c:catAx>
      <c:valAx>
        <c:axId val="603212776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3210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Dinâmicas!$BS$31</c:f>
              <c:strCache>
                <c:ptCount val="1"/>
                <c:pt idx="0">
                  <c:v>RS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>
                <a:glow rad="63500">
                  <a:schemeClr val="accent5">
                    <a:satMod val="175000"/>
                    <a:alpha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2-326C-423D-A713-7125DF99609A}"/>
              </c:ext>
            </c:extLst>
          </c:dPt>
          <c:val>
            <c:numRef>
              <c:f>Dinâmicas!$BT$31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6C-423D-A713-7125DF996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605418712"/>
        <c:axId val="605413792"/>
      </c:barChart>
      <c:catAx>
        <c:axId val="605418712"/>
        <c:scaling>
          <c:orientation val="minMax"/>
        </c:scaling>
        <c:delete val="1"/>
        <c:axPos val="b"/>
        <c:majorTickMark val="none"/>
        <c:minorTickMark val="none"/>
        <c:tickLblPos val="nextTo"/>
        <c:crossAx val="605413792"/>
        <c:crosses val="autoZero"/>
        <c:auto val="1"/>
        <c:lblAlgn val="ctr"/>
        <c:lblOffset val="100"/>
        <c:noMultiLvlLbl val="0"/>
      </c:catAx>
      <c:valAx>
        <c:axId val="605413792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5418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Dinâmicas!$BS$10</c:f>
              <c:strCache>
                <c:ptCount val="1"/>
                <c:pt idx="0">
                  <c:v>AL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>
              <a:glow rad="63500">
                <a:schemeClr val="accent5">
                  <a:satMod val="175000"/>
                  <a:alpha val="40000"/>
                </a:schemeClr>
              </a:glow>
            </a:effectLst>
          </c:spPr>
          <c:invertIfNegative val="0"/>
          <c:val>
            <c:numRef>
              <c:f>Dinâmicas!$BT$10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6C-4141-BC67-20D223EB9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951430280"/>
        <c:axId val="951430608"/>
      </c:barChart>
      <c:catAx>
        <c:axId val="951430280"/>
        <c:scaling>
          <c:orientation val="minMax"/>
        </c:scaling>
        <c:delete val="1"/>
        <c:axPos val="b"/>
        <c:majorTickMark val="none"/>
        <c:minorTickMark val="none"/>
        <c:tickLblPos val="nextTo"/>
        <c:crossAx val="951430608"/>
        <c:crosses val="autoZero"/>
        <c:auto val="1"/>
        <c:lblAlgn val="ctr"/>
        <c:lblOffset val="100"/>
        <c:noMultiLvlLbl val="0"/>
      </c:catAx>
      <c:valAx>
        <c:axId val="951430608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95143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Dinâmicas!$BS$11</c:f>
              <c:strCache>
                <c:ptCount val="1"/>
                <c:pt idx="0">
                  <c:v>AM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>
              <a:glow rad="63500">
                <a:schemeClr val="accent5">
                  <a:satMod val="175000"/>
                  <a:alpha val="40000"/>
                </a:schemeClr>
              </a:glow>
            </a:effectLst>
          </c:spPr>
          <c:invertIfNegative val="0"/>
          <c:val>
            <c:numRef>
              <c:f>Dinâmicas!$BT$11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A8-437F-A2AA-C5FCC311D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951767096"/>
        <c:axId val="951768408"/>
      </c:barChart>
      <c:catAx>
        <c:axId val="951767096"/>
        <c:scaling>
          <c:orientation val="minMax"/>
        </c:scaling>
        <c:delete val="1"/>
        <c:axPos val="b"/>
        <c:majorTickMark val="none"/>
        <c:minorTickMark val="none"/>
        <c:tickLblPos val="nextTo"/>
        <c:crossAx val="951768408"/>
        <c:crosses val="autoZero"/>
        <c:auto val="1"/>
        <c:lblAlgn val="ctr"/>
        <c:lblOffset val="100"/>
        <c:noMultiLvlLbl val="0"/>
      </c:catAx>
      <c:valAx>
        <c:axId val="951768408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951767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Dinâmicas!$BS$12</c:f>
              <c:strCache>
                <c:ptCount val="1"/>
                <c:pt idx="0">
                  <c:v>AP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>
                <a:glow rad="63500">
                  <a:schemeClr val="accent5">
                    <a:satMod val="175000"/>
                    <a:alpha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2-7C8A-4ED4-B44A-56E91239E2DE}"/>
              </c:ext>
            </c:extLst>
          </c:dPt>
          <c:val>
            <c:numRef>
              <c:f>Dinâmicas!$BT$12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8A-4ED4-B44A-56E91239E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543374640"/>
        <c:axId val="543374968"/>
      </c:barChart>
      <c:catAx>
        <c:axId val="543374640"/>
        <c:scaling>
          <c:orientation val="minMax"/>
        </c:scaling>
        <c:delete val="1"/>
        <c:axPos val="b"/>
        <c:majorTickMark val="none"/>
        <c:minorTickMark val="none"/>
        <c:tickLblPos val="nextTo"/>
        <c:crossAx val="543374968"/>
        <c:crosses val="autoZero"/>
        <c:auto val="1"/>
        <c:lblAlgn val="ctr"/>
        <c:lblOffset val="100"/>
        <c:noMultiLvlLbl val="0"/>
      </c:catAx>
      <c:valAx>
        <c:axId val="543374968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54337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Dinâmicas!$BS$13</c:f>
              <c:strCache>
                <c:ptCount val="1"/>
                <c:pt idx="0">
                  <c:v>BA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>
              <a:glow rad="63500">
                <a:schemeClr val="accent5">
                  <a:satMod val="175000"/>
                  <a:alpha val="40000"/>
                </a:schemeClr>
              </a:glow>
            </a:effectLst>
          </c:spPr>
          <c:invertIfNegative val="0"/>
          <c:val>
            <c:numRef>
              <c:f>Dinâmicas!$BT$13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DE-4078-B2F0-E5BAEB7CB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605010592"/>
        <c:axId val="605012888"/>
      </c:barChart>
      <c:catAx>
        <c:axId val="605010592"/>
        <c:scaling>
          <c:orientation val="minMax"/>
        </c:scaling>
        <c:delete val="1"/>
        <c:axPos val="b"/>
        <c:majorTickMark val="none"/>
        <c:minorTickMark val="none"/>
        <c:tickLblPos val="nextTo"/>
        <c:crossAx val="605012888"/>
        <c:crosses val="autoZero"/>
        <c:auto val="1"/>
        <c:lblAlgn val="ctr"/>
        <c:lblOffset val="100"/>
        <c:noMultiLvlLbl val="0"/>
      </c:catAx>
      <c:valAx>
        <c:axId val="605012888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501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Dinâmicas!$BS$14</c:f>
              <c:strCache>
                <c:ptCount val="1"/>
                <c:pt idx="0">
                  <c:v>CE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>
              <a:glow rad="63500">
                <a:schemeClr val="accent5">
                  <a:satMod val="175000"/>
                  <a:alpha val="40000"/>
                </a:schemeClr>
              </a:glow>
            </a:effectLst>
          </c:spPr>
          <c:invertIfNegative val="0"/>
          <c:val>
            <c:numRef>
              <c:f>Dinâmicas!$BT$14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E7-4B40-AEC8-363983BE8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600146640"/>
        <c:axId val="600152544"/>
      </c:barChart>
      <c:catAx>
        <c:axId val="600146640"/>
        <c:scaling>
          <c:orientation val="minMax"/>
        </c:scaling>
        <c:delete val="1"/>
        <c:axPos val="b"/>
        <c:majorTickMark val="none"/>
        <c:minorTickMark val="none"/>
        <c:tickLblPos val="nextTo"/>
        <c:crossAx val="600152544"/>
        <c:crosses val="autoZero"/>
        <c:auto val="1"/>
        <c:lblAlgn val="ctr"/>
        <c:lblOffset val="100"/>
        <c:noMultiLvlLbl val="0"/>
      </c:catAx>
      <c:valAx>
        <c:axId val="600152544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014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Dinâmicas!$BS$15</c:f>
              <c:strCache>
                <c:ptCount val="1"/>
                <c:pt idx="0">
                  <c:v>DF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>
              <a:glow rad="63500">
                <a:schemeClr val="accent5">
                  <a:satMod val="175000"/>
                  <a:alpha val="40000"/>
                </a:schemeClr>
              </a:glow>
            </a:effectLst>
          </c:spPr>
          <c:invertIfNegative val="0"/>
          <c:val>
            <c:numRef>
              <c:f>Dinâmicas!$BT$15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21-4D00-96C2-BD214068D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599235016"/>
        <c:axId val="599233048"/>
      </c:barChart>
      <c:catAx>
        <c:axId val="599235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599233048"/>
        <c:crosses val="autoZero"/>
        <c:auto val="1"/>
        <c:lblAlgn val="ctr"/>
        <c:lblOffset val="100"/>
        <c:noMultiLvlLbl val="0"/>
      </c:catAx>
      <c:valAx>
        <c:axId val="599233048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599235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Dinâmicas!$BS$16</c:f>
              <c:strCache>
                <c:ptCount val="1"/>
                <c:pt idx="0">
                  <c:v>ES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>
              <a:glow rad="63500">
                <a:schemeClr val="accent5">
                  <a:satMod val="175000"/>
                  <a:alpha val="40000"/>
                </a:schemeClr>
              </a:glow>
            </a:effectLst>
          </c:spPr>
          <c:invertIfNegative val="0"/>
          <c:val>
            <c:numRef>
              <c:f>Dinâmicas!$BT$16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78-47EB-AF4D-5E26EBF21B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599231080"/>
        <c:axId val="599233704"/>
      </c:barChart>
      <c:catAx>
        <c:axId val="599231080"/>
        <c:scaling>
          <c:orientation val="minMax"/>
        </c:scaling>
        <c:delete val="1"/>
        <c:axPos val="b"/>
        <c:majorTickMark val="none"/>
        <c:minorTickMark val="none"/>
        <c:tickLblPos val="nextTo"/>
        <c:crossAx val="599233704"/>
        <c:crosses val="autoZero"/>
        <c:auto val="1"/>
        <c:lblAlgn val="ctr"/>
        <c:lblOffset val="100"/>
        <c:noMultiLvlLbl val="0"/>
      </c:catAx>
      <c:valAx>
        <c:axId val="599233704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599231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Dinâmicas!$BS$17</c:f>
              <c:strCache>
                <c:ptCount val="1"/>
                <c:pt idx="0">
                  <c:v>GO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>
              <a:glow rad="63500">
                <a:schemeClr val="accent5">
                  <a:satMod val="175000"/>
                  <a:alpha val="40000"/>
                </a:schemeClr>
              </a:glow>
            </a:effectLst>
          </c:spPr>
          <c:invertIfNegative val="0"/>
          <c:val>
            <c:numRef>
              <c:f>Dinâmicas!$BT$17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13-4587-8387-E0922C7C1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769014312"/>
        <c:axId val="769014640"/>
      </c:barChart>
      <c:catAx>
        <c:axId val="769014312"/>
        <c:scaling>
          <c:orientation val="minMax"/>
        </c:scaling>
        <c:delete val="1"/>
        <c:axPos val="b"/>
        <c:majorTickMark val="none"/>
        <c:minorTickMark val="none"/>
        <c:tickLblPos val="nextTo"/>
        <c:crossAx val="769014640"/>
        <c:crosses val="autoZero"/>
        <c:auto val="1"/>
        <c:lblAlgn val="ctr"/>
        <c:lblOffset val="100"/>
        <c:noMultiLvlLbl val="0"/>
      </c:catAx>
      <c:valAx>
        <c:axId val="769014640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69014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Dinâmicas!$BS$18</c:f>
              <c:strCache>
                <c:ptCount val="1"/>
                <c:pt idx="0">
                  <c:v>MA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>
              <a:glow rad="63500">
                <a:schemeClr val="accent5">
                  <a:satMod val="175000"/>
                  <a:alpha val="40000"/>
                </a:schemeClr>
              </a:glow>
            </a:effectLst>
          </c:spPr>
          <c:invertIfNegative val="0"/>
          <c:val>
            <c:numRef>
              <c:f>Dinâmicas!$BT$18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F4-4E83-815D-E77B6A9D8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966244312"/>
        <c:axId val="966244640"/>
      </c:barChart>
      <c:catAx>
        <c:axId val="966244312"/>
        <c:scaling>
          <c:orientation val="minMax"/>
        </c:scaling>
        <c:delete val="1"/>
        <c:axPos val="b"/>
        <c:majorTickMark val="none"/>
        <c:minorTickMark val="none"/>
        <c:tickLblPos val="nextTo"/>
        <c:crossAx val="966244640"/>
        <c:crosses val="autoZero"/>
        <c:auto val="1"/>
        <c:lblAlgn val="ctr"/>
        <c:lblOffset val="100"/>
        <c:noMultiLvlLbl val="0"/>
      </c:catAx>
      <c:valAx>
        <c:axId val="966244640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966244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Dinâmicas!$BS$20</c:f>
              <c:strCache>
                <c:ptCount val="1"/>
                <c:pt idx="0">
                  <c:v>MS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>
              <a:glow rad="63500">
                <a:schemeClr val="accent5">
                  <a:satMod val="175000"/>
                  <a:alpha val="40000"/>
                </a:schemeClr>
              </a:glow>
            </a:effectLst>
          </c:spPr>
          <c:invertIfNegative val="0"/>
          <c:val>
            <c:numRef>
              <c:f>Dinâmicas!$BT$20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D1-49C5-ACFA-0B6965720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966242016"/>
        <c:axId val="541991968"/>
      </c:barChart>
      <c:catAx>
        <c:axId val="966242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541991968"/>
        <c:crosses val="autoZero"/>
        <c:auto val="1"/>
        <c:lblAlgn val="ctr"/>
        <c:lblOffset val="100"/>
        <c:noMultiLvlLbl val="0"/>
      </c:catAx>
      <c:valAx>
        <c:axId val="541991968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96624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Dinâmicas!$BS$21</c:f>
              <c:strCache>
                <c:ptCount val="1"/>
                <c:pt idx="0">
                  <c:v>MT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>
              <a:glow rad="63500">
                <a:schemeClr val="accent5">
                  <a:satMod val="175000"/>
                  <a:alpha val="40000"/>
                </a:schemeClr>
              </a:glow>
            </a:effectLst>
          </c:spPr>
          <c:invertIfNegative val="0"/>
          <c:val>
            <c:numRef>
              <c:f>Dinâmicas!$BT$21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1E-43AE-A426-A448A4AFE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502301920"/>
        <c:axId val="502293392"/>
      </c:barChart>
      <c:catAx>
        <c:axId val="502301920"/>
        <c:scaling>
          <c:orientation val="minMax"/>
        </c:scaling>
        <c:delete val="1"/>
        <c:axPos val="b"/>
        <c:majorTickMark val="none"/>
        <c:minorTickMark val="none"/>
        <c:tickLblPos val="nextTo"/>
        <c:crossAx val="502293392"/>
        <c:crosses val="autoZero"/>
        <c:auto val="1"/>
        <c:lblAlgn val="ctr"/>
        <c:lblOffset val="100"/>
        <c:noMultiLvlLbl val="0"/>
      </c:catAx>
      <c:valAx>
        <c:axId val="502293392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50230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Dinâmicas!$BS$22</c:f>
              <c:strCache>
                <c:ptCount val="1"/>
                <c:pt idx="0">
                  <c:v>PA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>
              <a:glow rad="63500">
                <a:schemeClr val="accent5">
                  <a:satMod val="175000"/>
                  <a:alpha val="40000"/>
                </a:schemeClr>
              </a:glow>
            </a:effectLst>
          </c:spPr>
          <c:invertIfNegative val="0"/>
          <c:val>
            <c:numRef>
              <c:f>Dinâmicas!$BT$22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28-4560-BD05-901326E3FC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421571800"/>
        <c:axId val="421572128"/>
      </c:barChart>
      <c:catAx>
        <c:axId val="421571800"/>
        <c:scaling>
          <c:orientation val="minMax"/>
        </c:scaling>
        <c:delete val="1"/>
        <c:axPos val="b"/>
        <c:majorTickMark val="none"/>
        <c:minorTickMark val="none"/>
        <c:tickLblPos val="nextTo"/>
        <c:crossAx val="421572128"/>
        <c:crosses val="autoZero"/>
        <c:auto val="1"/>
        <c:lblAlgn val="ctr"/>
        <c:lblOffset val="100"/>
        <c:noMultiLvlLbl val="0"/>
      </c:catAx>
      <c:valAx>
        <c:axId val="421572128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421571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Dinâmicas!$BS$23</c:f>
              <c:strCache>
                <c:ptCount val="1"/>
                <c:pt idx="0">
                  <c:v>PB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>
              <a:glow rad="63500">
                <a:schemeClr val="accent5">
                  <a:satMod val="175000"/>
                  <a:alpha val="40000"/>
                </a:schemeClr>
              </a:glow>
            </a:effectLst>
          </c:spPr>
          <c:invertIfNegative val="0"/>
          <c:val>
            <c:numRef>
              <c:f>Dinâmicas!$BT$23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93-41A9-9FCF-701ADDC93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603208184"/>
        <c:axId val="603209168"/>
      </c:barChart>
      <c:catAx>
        <c:axId val="603208184"/>
        <c:scaling>
          <c:orientation val="minMax"/>
        </c:scaling>
        <c:delete val="1"/>
        <c:axPos val="b"/>
        <c:majorTickMark val="none"/>
        <c:minorTickMark val="none"/>
        <c:tickLblPos val="nextTo"/>
        <c:crossAx val="603209168"/>
        <c:crosses val="autoZero"/>
        <c:auto val="1"/>
        <c:lblAlgn val="ctr"/>
        <c:lblOffset val="100"/>
        <c:noMultiLvlLbl val="0"/>
      </c:catAx>
      <c:valAx>
        <c:axId val="603209168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3208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Dinâmicas!$BS$24</c:f>
              <c:strCache>
                <c:ptCount val="1"/>
                <c:pt idx="0">
                  <c:v>PE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>
              <a:glow rad="63500">
                <a:schemeClr val="accent5">
                  <a:satMod val="175000"/>
                  <a:alpha val="40000"/>
                </a:schemeClr>
              </a:glow>
            </a:effectLst>
          </c:spPr>
          <c:invertIfNegative val="0"/>
          <c:val>
            <c:numRef>
              <c:f>Dinâmicas!$BT$24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F0-40ED-93ED-8E058EAB4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769010376"/>
        <c:axId val="769013984"/>
      </c:barChart>
      <c:catAx>
        <c:axId val="7690103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69013984"/>
        <c:crosses val="autoZero"/>
        <c:auto val="1"/>
        <c:lblAlgn val="ctr"/>
        <c:lblOffset val="100"/>
        <c:noMultiLvlLbl val="0"/>
      </c:catAx>
      <c:valAx>
        <c:axId val="769013984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6901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Dinâmicas!$BS$26</c:f>
              <c:strCache>
                <c:ptCount val="1"/>
                <c:pt idx="0">
                  <c:v>PR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>
              <a:glow rad="63500">
                <a:schemeClr val="accent5">
                  <a:satMod val="175000"/>
                  <a:alpha val="40000"/>
                </a:schemeClr>
              </a:glow>
            </a:effectLst>
          </c:spPr>
          <c:invertIfNegative val="0"/>
          <c:val>
            <c:numRef>
              <c:f>Dinâmicas!$BT$26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B8-48DC-9EB5-D8E249A800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609147760"/>
        <c:axId val="609153664"/>
      </c:barChart>
      <c:catAx>
        <c:axId val="609147760"/>
        <c:scaling>
          <c:orientation val="minMax"/>
        </c:scaling>
        <c:delete val="1"/>
        <c:axPos val="b"/>
        <c:majorTickMark val="none"/>
        <c:minorTickMark val="none"/>
        <c:tickLblPos val="nextTo"/>
        <c:crossAx val="609153664"/>
        <c:crosses val="autoZero"/>
        <c:auto val="1"/>
        <c:lblAlgn val="ctr"/>
        <c:lblOffset val="100"/>
        <c:noMultiLvlLbl val="0"/>
      </c:catAx>
      <c:valAx>
        <c:axId val="609153664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4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Dinâmicas!$BS$27</c:f>
              <c:strCache>
                <c:ptCount val="1"/>
                <c:pt idx="0">
                  <c:v>RJ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>
              <a:glow rad="63500">
                <a:schemeClr val="accent5">
                  <a:satMod val="175000"/>
                  <a:alpha val="40000"/>
                </a:schemeClr>
              </a:glow>
            </a:effectLst>
          </c:spPr>
          <c:invertIfNegative val="0"/>
          <c:val>
            <c:numRef>
              <c:f>Dinâmicas!$BT$27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E8-4343-AC18-E59AF91BE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317142520"/>
        <c:axId val="782982552"/>
      </c:barChart>
      <c:catAx>
        <c:axId val="317142520"/>
        <c:scaling>
          <c:orientation val="minMax"/>
        </c:scaling>
        <c:delete val="1"/>
        <c:axPos val="b"/>
        <c:majorTickMark val="none"/>
        <c:minorTickMark val="none"/>
        <c:tickLblPos val="nextTo"/>
        <c:crossAx val="782982552"/>
        <c:crosses val="autoZero"/>
        <c:auto val="1"/>
        <c:lblAlgn val="ctr"/>
        <c:lblOffset val="100"/>
        <c:noMultiLvlLbl val="0"/>
      </c:catAx>
      <c:valAx>
        <c:axId val="782982552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317142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Dinâmicas!$BS$28</c:f>
              <c:strCache>
                <c:ptCount val="1"/>
                <c:pt idx="0">
                  <c:v>RN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>
              <a:glow rad="63500">
                <a:schemeClr val="accent5">
                  <a:satMod val="175000"/>
                  <a:alpha val="40000"/>
                </a:schemeClr>
              </a:glow>
            </a:effectLst>
          </c:spPr>
          <c:invertIfNegative val="0"/>
          <c:val>
            <c:numRef>
              <c:f>Dinâmicas!$BT$28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2D-422B-93FF-61FFB82D3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498450952"/>
        <c:axId val="498451608"/>
      </c:barChart>
      <c:catAx>
        <c:axId val="498450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498451608"/>
        <c:crosses val="autoZero"/>
        <c:auto val="1"/>
        <c:lblAlgn val="ctr"/>
        <c:lblOffset val="100"/>
        <c:noMultiLvlLbl val="0"/>
      </c:catAx>
      <c:valAx>
        <c:axId val="498451608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498450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Dinâmicas!$BS$29</c:f>
              <c:strCache>
                <c:ptCount val="1"/>
                <c:pt idx="0">
                  <c:v>RO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>
              <a:glow rad="63500">
                <a:schemeClr val="accent5">
                  <a:satMod val="175000"/>
                  <a:alpha val="40000"/>
                </a:schemeClr>
              </a:glow>
            </a:effectLst>
          </c:spPr>
          <c:invertIfNegative val="0"/>
          <c:val>
            <c:numRef>
              <c:f>Dinâmicas!$BT$29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A5-4E49-87BC-1C63F8636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769492800"/>
        <c:axId val="769493456"/>
      </c:barChart>
      <c:catAx>
        <c:axId val="769492800"/>
        <c:scaling>
          <c:orientation val="minMax"/>
        </c:scaling>
        <c:delete val="1"/>
        <c:axPos val="b"/>
        <c:majorTickMark val="none"/>
        <c:minorTickMark val="none"/>
        <c:tickLblPos val="nextTo"/>
        <c:crossAx val="769493456"/>
        <c:crosses val="autoZero"/>
        <c:auto val="1"/>
        <c:lblAlgn val="ctr"/>
        <c:lblOffset val="100"/>
        <c:noMultiLvlLbl val="0"/>
      </c:catAx>
      <c:valAx>
        <c:axId val="769493456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69492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Dinâmicas!$BS$32</c:f>
              <c:strCache>
                <c:ptCount val="1"/>
                <c:pt idx="0">
                  <c:v>SC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>
              <a:glow rad="63500">
                <a:schemeClr val="accent5">
                  <a:satMod val="175000"/>
                  <a:alpha val="40000"/>
                </a:schemeClr>
              </a:glow>
            </a:effectLst>
          </c:spPr>
          <c:invertIfNegative val="0"/>
          <c:val>
            <c:numRef>
              <c:f>Dinâmicas!$BT$32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FA-43CF-BA38-1A237297DD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605439704"/>
        <c:axId val="609148744"/>
      </c:barChart>
      <c:catAx>
        <c:axId val="605439704"/>
        <c:scaling>
          <c:orientation val="minMax"/>
        </c:scaling>
        <c:delete val="1"/>
        <c:axPos val="b"/>
        <c:majorTickMark val="none"/>
        <c:minorTickMark val="none"/>
        <c:tickLblPos val="nextTo"/>
        <c:crossAx val="609148744"/>
        <c:crosses val="autoZero"/>
        <c:auto val="1"/>
        <c:lblAlgn val="ctr"/>
        <c:lblOffset val="100"/>
        <c:noMultiLvlLbl val="0"/>
      </c:catAx>
      <c:valAx>
        <c:axId val="609148744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5439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Dinâmicas!$BS$33</c:f>
              <c:strCache>
                <c:ptCount val="1"/>
                <c:pt idx="0">
                  <c:v>SE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>
              <a:glow rad="63500">
                <a:schemeClr val="accent5">
                  <a:satMod val="175000"/>
                  <a:alpha val="40000"/>
                </a:schemeClr>
              </a:glow>
            </a:effectLst>
          </c:spPr>
          <c:invertIfNegative val="0"/>
          <c:val>
            <c:numRef>
              <c:f>Dinâmicas!$BT$33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0E-4078-86CD-3BD837B2C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487667456"/>
        <c:axId val="951769064"/>
      </c:barChart>
      <c:catAx>
        <c:axId val="487667456"/>
        <c:scaling>
          <c:orientation val="minMax"/>
        </c:scaling>
        <c:delete val="1"/>
        <c:axPos val="b"/>
        <c:majorTickMark val="none"/>
        <c:minorTickMark val="none"/>
        <c:tickLblPos val="nextTo"/>
        <c:crossAx val="951769064"/>
        <c:crosses val="autoZero"/>
        <c:auto val="1"/>
        <c:lblAlgn val="ctr"/>
        <c:lblOffset val="100"/>
        <c:noMultiLvlLbl val="0"/>
      </c:catAx>
      <c:valAx>
        <c:axId val="951769064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48766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ash1"/><Relationship Id="rId13" Type="http://schemas.openxmlformats.org/officeDocument/2006/relationships/image" Target="../media/image9.svg"/><Relationship Id="rId3" Type="http://schemas.openxmlformats.org/officeDocument/2006/relationships/image" Target="../media/image2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2" Type="http://schemas.openxmlformats.org/officeDocument/2006/relationships/hyperlink" Target="#Base!A5"/><Relationship Id="rId16" Type="http://schemas.openxmlformats.org/officeDocument/2006/relationships/image" Target="../media/image12.jp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Desenvolvedor!A1"/><Relationship Id="rId5" Type="http://schemas.openxmlformats.org/officeDocument/2006/relationships/hyperlink" Target="#Din&#226;micas!A1"/><Relationship Id="rId15" Type="http://schemas.openxmlformats.org/officeDocument/2006/relationships/image" Target="../media/image11.svg"/><Relationship Id="rId10" Type="http://schemas.openxmlformats.org/officeDocument/2006/relationships/image" Target="../media/image7.svg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Menu"/><Relationship Id="rId4" Type="http://schemas.openxmlformats.org/officeDocument/2006/relationships/image" Target="../media/image12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Menu"/><Relationship Id="rId4" Type="http://schemas.openxmlformats.org/officeDocument/2006/relationships/image" Target="../media/image12.jp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7.png"/><Relationship Id="rId18" Type="http://schemas.openxmlformats.org/officeDocument/2006/relationships/image" Target="../media/image11.svg"/><Relationship Id="rId26" Type="http://schemas.openxmlformats.org/officeDocument/2006/relationships/image" Target="../media/image14.svg"/><Relationship Id="rId39" Type="http://schemas.openxmlformats.org/officeDocument/2006/relationships/image" Target="../media/image42.svg"/><Relationship Id="rId21" Type="http://schemas.openxmlformats.org/officeDocument/2006/relationships/image" Target="../media/image4.png"/><Relationship Id="rId34" Type="http://schemas.openxmlformats.org/officeDocument/2006/relationships/image" Target="../media/image37.png"/><Relationship Id="rId7" Type="http://schemas.openxmlformats.org/officeDocument/2006/relationships/image" Target="../media/image21.png"/><Relationship Id="rId12" Type="http://schemas.openxmlformats.org/officeDocument/2006/relationships/image" Target="../media/image26.svg"/><Relationship Id="rId17" Type="http://schemas.openxmlformats.org/officeDocument/2006/relationships/image" Target="../media/image10.png"/><Relationship Id="rId25" Type="http://schemas.openxmlformats.org/officeDocument/2006/relationships/image" Target="../media/image13.png"/><Relationship Id="rId33" Type="http://schemas.openxmlformats.org/officeDocument/2006/relationships/image" Target="../media/image36.svg"/><Relationship Id="rId38" Type="http://schemas.openxmlformats.org/officeDocument/2006/relationships/image" Target="../media/image41.png"/><Relationship Id="rId2" Type="http://schemas.openxmlformats.org/officeDocument/2006/relationships/image" Target="../media/image16.svg"/><Relationship Id="rId16" Type="http://schemas.openxmlformats.org/officeDocument/2006/relationships/image" Target="../media/image30.svg"/><Relationship Id="rId20" Type="http://schemas.openxmlformats.org/officeDocument/2006/relationships/image" Target="../media/image3.svg"/><Relationship Id="rId29" Type="http://schemas.openxmlformats.org/officeDocument/2006/relationships/image" Target="../media/image32.svg"/><Relationship Id="rId1" Type="http://schemas.openxmlformats.org/officeDocument/2006/relationships/image" Target="../media/image15.png"/><Relationship Id="rId6" Type="http://schemas.openxmlformats.org/officeDocument/2006/relationships/image" Target="../media/image20.svg"/><Relationship Id="rId11" Type="http://schemas.openxmlformats.org/officeDocument/2006/relationships/image" Target="../media/image25.png"/><Relationship Id="rId24" Type="http://schemas.openxmlformats.org/officeDocument/2006/relationships/image" Target="../media/image7.svg"/><Relationship Id="rId32" Type="http://schemas.openxmlformats.org/officeDocument/2006/relationships/image" Target="../media/image35.png"/><Relationship Id="rId37" Type="http://schemas.openxmlformats.org/officeDocument/2006/relationships/image" Target="../media/image40.svg"/><Relationship Id="rId40" Type="http://schemas.openxmlformats.org/officeDocument/2006/relationships/image" Target="../media/image12.jpg"/><Relationship Id="rId5" Type="http://schemas.openxmlformats.org/officeDocument/2006/relationships/image" Target="../media/image19.png"/><Relationship Id="rId15" Type="http://schemas.openxmlformats.org/officeDocument/2006/relationships/image" Target="../media/image29.png"/><Relationship Id="rId23" Type="http://schemas.openxmlformats.org/officeDocument/2006/relationships/image" Target="../media/image6.png"/><Relationship Id="rId28" Type="http://schemas.openxmlformats.org/officeDocument/2006/relationships/image" Target="../media/image31.png"/><Relationship Id="rId36" Type="http://schemas.openxmlformats.org/officeDocument/2006/relationships/image" Target="../media/image39.png"/><Relationship Id="rId10" Type="http://schemas.openxmlformats.org/officeDocument/2006/relationships/image" Target="../media/image24.svg"/><Relationship Id="rId19" Type="http://schemas.openxmlformats.org/officeDocument/2006/relationships/image" Target="../media/image2.png"/><Relationship Id="rId31" Type="http://schemas.openxmlformats.org/officeDocument/2006/relationships/image" Target="../media/image34.svg"/><Relationship Id="rId4" Type="http://schemas.openxmlformats.org/officeDocument/2006/relationships/image" Target="../media/image18.svg"/><Relationship Id="rId9" Type="http://schemas.openxmlformats.org/officeDocument/2006/relationships/image" Target="../media/image23.png"/><Relationship Id="rId14" Type="http://schemas.openxmlformats.org/officeDocument/2006/relationships/image" Target="../media/image28.svg"/><Relationship Id="rId22" Type="http://schemas.openxmlformats.org/officeDocument/2006/relationships/image" Target="../media/image5.svg"/><Relationship Id="rId27" Type="http://schemas.openxmlformats.org/officeDocument/2006/relationships/hyperlink" Target="#Menu"/><Relationship Id="rId30" Type="http://schemas.openxmlformats.org/officeDocument/2006/relationships/image" Target="../media/image33.png"/><Relationship Id="rId35" Type="http://schemas.openxmlformats.org/officeDocument/2006/relationships/image" Target="../media/image38.svg"/><Relationship Id="rId8" Type="http://schemas.openxmlformats.org/officeDocument/2006/relationships/image" Target="../media/image22.svg"/><Relationship Id="rId3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.xml"/><Relationship Id="rId18" Type="http://schemas.openxmlformats.org/officeDocument/2006/relationships/chart" Target="../charts/chart5.xml"/><Relationship Id="rId26" Type="http://schemas.openxmlformats.org/officeDocument/2006/relationships/image" Target="../media/image37.png"/><Relationship Id="rId39" Type="http://schemas.openxmlformats.org/officeDocument/2006/relationships/chart" Target="../charts/chart17.xml"/><Relationship Id="rId21" Type="http://schemas.openxmlformats.org/officeDocument/2006/relationships/image" Target="../media/image44.png"/><Relationship Id="rId34" Type="http://schemas.openxmlformats.org/officeDocument/2006/relationships/chart" Target="../charts/chart12.xml"/><Relationship Id="rId42" Type="http://schemas.openxmlformats.org/officeDocument/2006/relationships/chart" Target="../charts/chart20.xml"/><Relationship Id="rId47" Type="http://schemas.openxmlformats.org/officeDocument/2006/relationships/chart" Target="../charts/chart25.xml"/><Relationship Id="rId50" Type="http://schemas.openxmlformats.org/officeDocument/2006/relationships/chart" Target="../charts/chart28.xml"/><Relationship Id="rId55" Type="http://schemas.openxmlformats.org/officeDocument/2006/relationships/chart" Target="../charts/chart33.xml"/><Relationship Id="rId7" Type="http://schemas.openxmlformats.org/officeDocument/2006/relationships/image" Target="../media/image28.svg"/><Relationship Id="rId2" Type="http://schemas.openxmlformats.org/officeDocument/2006/relationships/image" Target="../media/image13.png"/><Relationship Id="rId16" Type="http://schemas.openxmlformats.org/officeDocument/2006/relationships/chart" Target="../charts/chart3.xml"/><Relationship Id="rId29" Type="http://schemas.openxmlformats.org/officeDocument/2006/relationships/image" Target="../media/image32.svg"/><Relationship Id="rId11" Type="http://schemas.openxmlformats.org/officeDocument/2006/relationships/image" Target="../media/image21.png"/><Relationship Id="rId24" Type="http://schemas.openxmlformats.org/officeDocument/2006/relationships/image" Target="../media/image35.png"/><Relationship Id="rId32" Type="http://schemas.openxmlformats.org/officeDocument/2006/relationships/chart" Target="../charts/chart10.xml"/><Relationship Id="rId37" Type="http://schemas.openxmlformats.org/officeDocument/2006/relationships/chart" Target="../charts/chart15.xml"/><Relationship Id="rId40" Type="http://schemas.openxmlformats.org/officeDocument/2006/relationships/chart" Target="../charts/chart18.xml"/><Relationship Id="rId45" Type="http://schemas.openxmlformats.org/officeDocument/2006/relationships/chart" Target="../charts/chart23.xml"/><Relationship Id="rId53" Type="http://schemas.openxmlformats.org/officeDocument/2006/relationships/chart" Target="../charts/chart31.xml"/><Relationship Id="rId58" Type="http://schemas.openxmlformats.org/officeDocument/2006/relationships/chart" Target="../charts/chart36.xml"/><Relationship Id="rId5" Type="http://schemas.openxmlformats.org/officeDocument/2006/relationships/image" Target="../media/image26.svg"/><Relationship Id="rId19" Type="http://schemas.openxmlformats.org/officeDocument/2006/relationships/chart" Target="../charts/chart6.xml"/><Relationship Id="rId4" Type="http://schemas.openxmlformats.org/officeDocument/2006/relationships/image" Target="../media/image25.png"/><Relationship Id="rId9" Type="http://schemas.openxmlformats.org/officeDocument/2006/relationships/image" Target="../media/image30.svg"/><Relationship Id="rId14" Type="http://schemas.openxmlformats.org/officeDocument/2006/relationships/image" Target="../media/image23.png"/><Relationship Id="rId22" Type="http://schemas.openxmlformats.org/officeDocument/2006/relationships/image" Target="../media/image45.svg"/><Relationship Id="rId27" Type="http://schemas.openxmlformats.org/officeDocument/2006/relationships/image" Target="../media/image38.svg"/><Relationship Id="rId30" Type="http://schemas.openxmlformats.org/officeDocument/2006/relationships/image" Target="../media/image48.png"/><Relationship Id="rId35" Type="http://schemas.openxmlformats.org/officeDocument/2006/relationships/chart" Target="../charts/chart13.xml"/><Relationship Id="rId43" Type="http://schemas.openxmlformats.org/officeDocument/2006/relationships/chart" Target="../charts/chart21.xml"/><Relationship Id="rId48" Type="http://schemas.openxmlformats.org/officeDocument/2006/relationships/chart" Target="../charts/chart26.xml"/><Relationship Id="rId56" Type="http://schemas.openxmlformats.org/officeDocument/2006/relationships/chart" Target="../charts/chart34.xml"/><Relationship Id="rId8" Type="http://schemas.openxmlformats.org/officeDocument/2006/relationships/image" Target="../media/image29.png"/><Relationship Id="rId51" Type="http://schemas.openxmlformats.org/officeDocument/2006/relationships/chart" Target="../charts/chart29.xml"/><Relationship Id="rId3" Type="http://schemas.openxmlformats.org/officeDocument/2006/relationships/image" Target="../media/image14.svg"/><Relationship Id="rId12" Type="http://schemas.openxmlformats.org/officeDocument/2006/relationships/image" Target="../media/image22.svg"/><Relationship Id="rId17" Type="http://schemas.openxmlformats.org/officeDocument/2006/relationships/chart" Target="../charts/chart4.xml"/><Relationship Id="rId25" Type="http://schemas.openxmlformats.org/officeDocument/2006/relationships/image" Target="../media/image36.svg"/><Relationship Id="rId33" Type="http://schemas.openxmlformats.org/officeDocument/2006/relationships/chart" Target="../charts/chart11.xml"/><Relationship Id="rId38" Type="http://schemas.openxmlformats.org/officeDocument/2006/relationships/chart" Target="../charts/chart16.xml"/><Relationship Id="rId46" Type="http://schemas.openxmlformats.org/officeDocument/2006/relationships/chart" Target="../charts/chart24.xml"/><Relationship Id="rId59" Type="http://schemas.openxmlformats.org/officeDocument/2006/relationships/image" Target="../media/image12.jpg"/><Relationship Id="rId20" Type="http://schemas.openxmlformats.org/officeDocument/2006/relationships/chart" Target="../charts/chart7.xml"/><Relationship Id="rId41" Type="http://schemas.openxmlformats.org/officeDocument/2006/relationships/chart" Target="../charts/chart19.xml"/><Relationship Id="rId54" Type="http://schemas.openxmlformats.org/officeDocument/2006/relationships/chart" Target="../charts/chart32.xml"/><Relationship Id="rId1" Type="http://schemas.openxmlformats.org/officeDocument/2006/relationships/hyperlink" Target="#Menu"/><Relationship Id="rId6" Type="http://schemas.openxmlformats.org/officeDocument/2006/relationships/image" Target="../media/image27.png"/><Relationship Id="rId15" Type="http://schemas.openxmlformats.org/officeDocument/2006/relationships/image" Target="../media/image24.svg"/><Relationship Id="rId23" Type="http://schemas.openxmlformats.org/officeDocument/2006/relationships/chart" Target="../charts/chart8.xml"/><Relationship Id="rId28" Type="http://schemas.openxmlformats.org/officeDocument/2006/relationships/image" Target="../media/image31.png"/><Relationship Id="rId36" Type="http://schemas.openxmlformats.org/officeDocument/2006/relationships/chart" Target="../charts/chart14.xml"/><Relationship Id="rId49" Type="http://schemas.openxmlformats.org/officeDocument/2006/relationships/chart" Target="../charts/chart27.xml"/><Relationship Id="rId57" Type="http://schemas.openxmlformats.org/officeDocument/2006/relationships/chart" Target="../charts/chart35.xml"/><Relationship Id="rId10" Type="http://schemas.openxmlformats.org/officeDocument/2006/relationships/chart" Target="../charts/chart1.xml"/><Relationship Id="rId31" Type="http://schemas.openxmlformats.org/officeDocument/2006/relationships/chart" Target="../charts/chart9.xml"/><Relationship Id="rId44" Type="http://schemas.openxmlformats.org/officeDocument/2006/relationships/chart" Target="../charts/chart22.xml"/><Relationship Id="rId52" Type="http://schemas.openxmlformats.org/officeDocument/2006/relationships/chart" Target="../charts/chart30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144</xdr:col>
      <xdr:colOff>0</xdr:colOff>
      <xdr:row>76</xdr:row>
      <xdr:rowOff>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910FB27B-0DAB-4169-99BA-33540065E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0"/>
          <a:ext cx="12115800" cy="69494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7620</xdr:rowOff>
    </xdr:from>
    <xdr:to>
      <xdr:col>144</xdr:col>
      <xdr:colOff>0</xdr:colOff>
      <xdr:row>82</xdr:row>
      <xdr:rowOff>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32DC7FF-45E1-4CBC-99C5-7610C4025836}"/>
            </a:ext>
          </a:extLst>
        </xdr:cNvPr>
        <xdr:cNvSpPr/>
      </xdr:nvSpPr>
      <xdr:spPr>
        <a:xfrm>
          <a:off x="0" y="7620"/>
          <a:ext cx="12070080" cy="7490460"/>
        </a:xfrm>
        <a:prstGeom prst="roundRect">
          <a:avLst>
            <a:gd name="adj" fmla="val 2535"/>
          </a:avLst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90</xdr:col>
      <xdr:colOff>68581</xdr:colOff>
      <xdr:row>21</xdr:row>
      <xdr:rowOff>15241</xdr:rowOff>
    </xdr:from>
    <xdr:ext cx="4457699" cy="527837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DBA9C72E-119E-4395-AA6C-EDA783028636}"/>
            </a:ext>
          </a:extLst>
        </xdr:cNvPr>
        <xdr:cNvSpPr/>
      </xdr:nvSpPr>
      <xdr:spPr>
        <a:xfrm>
          <a:off x="7612381" y="1935481"/>
          <a:ext cx="4457699" cy="52783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800" b="1" cap="none" spc="0">
              <a:ln w="0"/>
              <a:solidFill>
                <a:schemeClr val="accent5">
                  <a:lumMod val="25000"/>
                </a:schemeClr>
              </a:solidFill>
              <a:effectLst/>
              <a:latin typeface="Avenir Next LT Pro Light" panose="020B0304020202020204" pitchFamily="34" charset="0"/>
            </a:rPr>
            <a:t>GESTÃO DE CONSULTAS</a:t>
          </a:r>
        </a:p>
      </xdr:txBody>
    </xdr:sp>
    <xdr:clientData/>
  </xdr:oneCellAnchor>
  <xdr:twoCellAnchor>
    <xdr:from>
      <xdr:col>104</xdr:col>
      <xdr:colOff>53340</xdr:colOff>
      <xdr:row>34</xdr:row>
      <xdr:rowOff>60960</xdr:rowOff>
    </xdr:from>
    <xdr:to>
      <xdr:col>135</xdr:col>
      <xdr:colOff>45720</xdr:colOff>
      <xdr:row>42</xdr:row>
      <xdr:rowOff>45720</xdr:rowOff>
    </xdr:to>
    <xdr:grpSp>
      <xdr:nvGrpSpPr>
        <xdr:cNvPr id="53" name="Agrupar 52">
          <a:hlinkClick xmlns:r="http://schemas.openxmlformats.org/officeDocument/2006/relationships" r:id="rId2" tooltip="Base de Dados"/>
          <a:extLst>
            <a:ext uri="{FF2B5EF4-FFF2-40B4-BE49-F238E27FC236}">
              <a16:creationId xmlns:a16="http://schemas.microsoft.com/office/drawing/2014/main" id="{7D6774DF-5DDD-4D4D-ACA2-AC1FF8CD13BC}"/>
            </a:ext>
          </a:extLst>
        </xdr:cNvPr>
        <xdr:cNvGrpSpPr/>
      </xdr:nvGrpSpPr>
      <xdr:grpSpPr>
        <a:xfrm>
          <a:off x="9162306" y="3038891"/>
          <a:ext cx="2707552" cy="685450"/>
          <a:chOff x="8770620" y="3169920"/>
          <a:chExt cx="2590800" cy="716280"/>
        </a:xfrm>
      </xdr:grpSpPr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5796CE97-57F0-4BB1-ABE7-AA851230B501}"/>
              </a:ext>
            </a:extLst>
          </xdr:cNvPr>
          <xdr:cNvGrpSpPr/>
        </xdr:nvGrpSpPr>
        <xdr:grpSpPr>
          <a:xfrm>
            <a:off x="8770620" y="3169920"/>
            <a:ext cx="2590800" cy="716280"/>
            <a:chOff x="7932420" y="3192780"/>
            <a:chExt cx="2590800" cy="716280"/>
          </a:xfrm>
        </xdr:grpSpPr>
        <xdr:sp macro="" textlink="">
          <xdr:nvSpPr>
            <xdr:cNvPr id="7" name="Retângulo: Cantos Arredondados 6">
              <a:extLst>
                <a:ext uri="{FF2B5EF4-FFF2-40B4-BE49-F238E27FC236}">
                  <a16:creationId xmlns:a16="http://schemas.microsoft.com/office/drawing/2014/main" id="{15207C91-1857-4D2E-8F1A-11C65255490F}"/>
                </a:ext>
              </a:extLst>
            </xdr:cNvPr>
            <xdr:cNvSpPr/>
          </xdr:nvSpPr>
          <xdr:spPr>
            <a:xfrm>
              <a:off x="8084820" y="3291840"/>
              <a:ext cx="2438400" cy="502920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" name="Elipse 7">
              <a:extLst>
                <a:ext uri="{FF2B5EF4-FFF2-40B4-BE49-F238E27FC236}">
                  <a16:creationId xmlns:a16="http://schemas.microsoft.com/office/drawing/2014/main" id="{253FE6C0-1B37-4D08-A70C-04CB5D166DB5}"/>
                </a:ext>
              </a:extLst>
            </xdr:cNvPr>
            <xdr:cNvSpPr/>
          </xdr:nvSpPr>
          <xdr:spPr>
            <a:xfrm>
              <a:off x="7932420" y="3192780"/>
              <a:ext cx="716280" cy="716280"/>
            </a:xfrm>
            <a:prstGeom prst="ellipse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FD5BDE55-D24C-4816-83AB-FD01EEE29CD9}"/>
              </a:ext>
            </a:extLst>
          </xdr:cNvPr>
          <xdr:cNvSpPr/>
        </xdr:nvSpPr>
        <xdr:spPr>
          <a:xfrm>
            <a:off x="9481430" y="3345180"/>
            <a:ext cx="1818638" cy="341184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600" b="1" cap="none" spc="0">
                <a:ln w="0"/>
                <a:solidFill>
                  <a:schemeClr val="accent5">
                    <a:lumMod val="25000"/>
                  </a:schemeClr>
                </a:solidFill>
                <a:effectLst/>
                <a:latin typeface="Avenir Next LT Pro Light" panose="020B0304020202020204" pitchFamily="34" charset="0"/>
              </a:rPr>
              <a:t>BASE DE DADOS</a:t>
            </a:r>
          </a:p>
        </xdr:txBody>
      </xdr:sp>
      <xdr:pic>
        <xdr:nvPicPr>
          <xdr:cNvPr id="21" name="Gráfico 20">
            <a:extLst>
              <a:ext uri="{FF2B5EF4-FFF2-40B4-BE49-F238E27FC236}">
                <a16:creationId xmlns:a16="http://schemas.microsoft.com/office/drawing/2014/main" id="{D7336800-2431-405D-BF33-46FAA193444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 l="8990" t="3425" r="12243" b="23288"/>
          <a:stretch/>
        </xdr:blipFill>
        <xdr:spPr>
          <a:xfrm>
            <a:off x="8907781" y="3284221"/>
            <a:ext cx="433346" cy="504000"/>
          </a:xfrm>
          <a:prstGeom prst="rect">
            <a:avLst/>
          </a:prstGeom>
        </xdr:spPr>
      </xdr:pic>
    </xdr:grpSp>
    <xdr:clientData/>
  </xdr:twoCellAnchor>
  <xdr:twoCellAnchor>
    <xdr:from>
      <xdr:col>104</xdr:col>
      <xdr:colOff>53340</xdr:colOff>
      <xdr:row>44</xdr:row>
      <xdr:rowOff>2540</xdr:rowOff>
    </xdr:from>
    <xdr:to>
      <xdr:col>135</xdr:col>
      <xdr:colOff>45720</xdr:colOff>
      <xdr:row>51</xdr:row>
      <xdr:rowOff>78740</xdr:rowOff>
    </xdr:to>
    <xdr:grpSp>
      <xdr:nvGrpSpPr>
        <xdr:cNvPr id="54" name="Agrupar 53">
          <a:hlinkClick xmlns:r="http://schemas.openxmlformats.org/officeDocument/2006/relationships" r:id="rId5" tooltip="Dinâmicas"/>
          <a:extLst>
            <a:ext uri="{FF2B5EF4-FFF2-40B4-BE49-F238E27FC236}">
              <a16:creationId xmlns:a16="http://schemas.microsoft.com/office/drawing/2014/main" id="{DDEC360C-545B-4F87-97C6-3D8693838934}"/>
            </a:ext>
          </a:extLst>
        </xdr:cNvPr>
        <xdr:cNvGrpSpPr/>
      </xdr:nvGrpSpPr>
      <xdr:grpSpPr>
        <a:xfrm>
          <a:off x="9162306" y="3856333"/>
          <a:ext cx="2707552" cy="689304"/>
          <a:chOff x="8770620" y="4015740"/>
          <a:chExt cx="2590800" cy="716280"/>
        </a:xfrm>
      </xdr:grpSpPr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AC55627A-B7C2-4A29-A025-91042CE036E1}"/>
              </a:ext>
            </a:extLst>
          </xdr:cNvPr>
          <xdr:cNvGrpSpPr/>
        </xdr:nvGrpSpPr>
        <xdr:grpSpPr>
          <a:xfrm>
            <a:off x="8770620" y="4015740"/>
            <a:ext cx="2590800" cy="716280"/>
            <a:chOff x="7932420" y="3192780"/>
            <a:chExt cx="2590800" cy="716280"/>
          </a:xfrm>
        </xdr:grpSpPr>
        <xdr:sp macro="" textlink="">
          <xdr:nvSpPr>
            <xdr:cNvPr id="23" name="Retângulo: Cantos Arredondados 22">
              <a:extLst>
                <a:ext uri="{FF2B5EF4-FFF2-40B4-BE49-F238E27FC236}">
                  <a16:creationId xmlns:a16="http://schemas.microsoft.com/office/drawing/2014/main" id="{2B5C9762-3D99-45A6-BFCC-2632A9B5DF6E}"/>
                </a:ext>
              </a:extLst>
            </xdr:cNvPr>
            <xdr:cNvSpPr/>
          </xdr:nvSpPr>
          <xdr:spPr>
            <a:xfrm>
              <a:off x="8084820" y="3291840"/>
              <a:ext cx="2438400" cy="502920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4" name="Elipse 23">
              <a:extLst>
                <a:ext uri="{FF2B5EF4-FFF2-40B4-BE49-F238E27FC236}">
                  <a16:creationId xmlns:a16="http://schemas.microsoft.com/office/drawing/2014/main" id="{0FC1123F-FD9A-4539-9C53-6B650B66498D}"/>
                </a:ext>
              </a:extLst>
            </xdr:cNvPr>
            <xdr:cNvSpPr/>
          </xdr:nvSpPr>
          <xdr:spPr>
            <a:xfrm>
              <a:off x="7932420" y="3192780"/>
              <a:ext cx="716280" cy="716280"/>
            </a:xfrm>
            <a:prstGeom prst="ellipse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076E2DE8-44C4-4055-9E22-BE70EC00A914}"/>
              </a:ext>
            </a:extLst>
          </xdr:cNvPr>
          <xdr:cNvSpPr/>
        </xdr:nvSpPr>
        <xdr:spPr>
          <a:xfrm>
            <a:off x="9724670" y="4191000"/>
            <a:ext cx="1332161" cy="341184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600" b="1" cap="none" spc="0">
                <a:ln w="0"/>
                <a:solidFill>
                  <a:schemeClr val="accent5">
                    <a:lumMod val="25000"/>
                  </a:schemeClr>
                </a:solidFill>
                <a:effectLst/>
                <a:latin typeface="Avenir Next LT Pro Light" panose="020B0304020202020204" pitchFamily="34" charset="0"/>
              </a:rPr>
              <a:t>DINÂMICAS</a:t>
            </a:r>
          </a:p>
        </xdr:txBody>
      </xdr:sp>
      <xdr:pic>
        <xdr:nvPicPr>
          <xdr:cNvPr id="37" name="Gráfico 36">
            <a:extLst>
              <a:ext uri="{FF2B5EF4-FFF2-40B4-BE49-F238E27FC236}">
                <a16:creationId xmlns:a16="http://schemas.microsoft.com/office/drawing/2014/main" id="{4F5BE9AC-48BE-4CE0-9789-D09417CDE25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 l="10559" t="8404" r="8695" b="28318"/>
          <a:stretch/>
        </xdr:blipFill>
        <xdr:spPr>
          <a:xfrm>
            <a:off x="8900160" y="4147679"/>
            <a:ext cx="475313" cy="468000"/>
          </a:xfrm>
          <a:prstGeom prst="rect">
            <a:avLst/>
          </a:prstGeom>
        </xdr:spPr>
      </xdr:pic>
    </xdr:grpSp>
    <xdr:clientData/>
  </xdr:twoCellAnchor>
  <xdr:twoCellAnchor>
    <xdr:from>
      <xdr:col>104</xdr:col>
      <xdr:colOff>53340</xdr:colOff>
      <xdr:row>53</xdr:row>
      <xdr:rowOff>35560</xdr:rowOff>
    </xdr:from>
    <xdr:to>
      <xdr:col>135</xdr:col>
      <xdr:colOff>45720</xdr:colOff>
      <xdr:row>61</xdr:row>
      <xdr:rowOff>20320</xdr:rowOff>
    </xdr:to>
    <xdr:grpSp>
      <xdr:nvGrpSpPr>
        <xdr:cNvPr id="55" name="Agrupar 54">
          <a:hlinkClick xmlns:r="http://schemas.openxmlformats.org/officeDocument/2006/relationships" r:id="rId8" tooltip="Dashboard"/>
          <a:extLst>
            <a:ext uri="{FF2B5EF4-FFF2-40B4-BE49-F238E27FC236}">
              <a16:creationId xmlns:a16="http://schemas.microsoft.com/office/drawing/2014/main" id="{3F90A506-BB0D-479B-B548-AD22F6FD88D8}"/>
            </a:ext>
          </a:extLst>
        </xdr:cNvPr>
        <xdr:cNvGrpSpPr/>
      </xdr:nvGrpSpPr>
      <xdr:grpSpPr>
        <a:xfrm>
          <a:off x="9162306" y="4677629"/>
          <a:ext cx="2707552" cy="685450"/>
          <a:chOff x="8770620" y="4892040"/>
          <a:chExt cx="2590800" cy="716280"/>
        </a:xfrm>
      </xdr:grpSpPr>
      <xdr:grpSp>
        <xdr:nvGrpSpPr>
          <xdr:cNvPr id="27" name="Agrupar 26">
            <a:extLst>
              <a:ext uri="{FF2B5EF4-FFF2-40B4-BE49-F238E27FC236}">
                <a16:creationId xmlns:a16="http://schemas.microsoft.com/office/drawing/2014/main" id="{74224C0B-137C-4622-817F-0B987AAA5331}"/>
              </a:ext>
            </a:extLst>
          </xdr:cNvPr>
          <xdr:cNvGrpSpPr/>
        </xdr:nvGrpSpPr>
        <xdr:grpSpPr>
          <a:xfrm>
            <a:off x="8770620" y="4892040"/>
            <a:ext cx="2590800" cy="716280"/>
            <a:chOff x="7932420" y="3192780"/>
            <a:chExt cx="2590800" cy="716280"/>
          </a:xfrm>
        </xdr:grpSpPr>
        <xdr:sp macro="" textlink="">
          <xdr:nvSpPr>
            <xdr:cNvPr id="28" name="Retângulo: Cantos Arredondados 27">
              <a:extLst>
                <a:ext uri="{FF2B5EF4-FFF2-40B4-BE49-F238E27FC236}">
                  <a16:creationId xmlns:a16="http://schemas.microsoft.com/office/drawing/2014/main" id="{DD4F1F00-4E0B-49A0-985D-57AED98D0E1E}"/>
                </a:ext>
              </a:extLst>
            </xdr:cNvPr>
            <xdr:cNvSpPr/>
          </xdr:nvSpPr>
          <xdr:spPr>
            <a:xfrm>
              <a:off x="8084820" y="3291840"/>
              <a:ext cx="2438400" cy="502920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Elipse 28">
              <a:extLst>
                <a:ext uri="{FF2B5EF4-FFF2-40B4-BE49-F238E27FC236}">
                  <a16:creationId xmlns:a16="http://schemas.microsoft.com/office/drawing/2014/main" id="{9CF5D571-E92F-45F2-9602-03B8E1305273}"/>
                </a:ext>
              </a:extLst>
            </xdr:cNvPr>
            <xdr:cNvSpPr/>
          </xdr:nvSpPr>
          <xdr:spPr>
            <a:xfrm>
              <a:off x="7932420" y="3192780"/>
              <a:ext cx="716280" cy="716280"/>
            </a:xfrm>
            <a:prstGeom prst="ellipse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">
        <xdr:nvSpPr>
          <xdr:cNvPr id="30" name="Retângulo 29">
            <a:extLst>
              <a:ext uri="{FF2B5EF4-FFF2-40B4-BE49-F238E27FC236}">
                <a16:creationId xmlns:a16="http://schemas.microsoft.com/office/drawing/2014/main" id="{D53BA825-3A67-4EFA-A662-C0FE9983677B}"/>
              </a:ext>
            </a:extLst>
          </xdr:cNvPr>
          <xdr:cNvSpPr/>
        </xdr:nvSpPr>
        <xdr:spPr>
          <a:xfrm>
            <a:off x="9654683" y="5067300"/>
            <a:ext cx="1472134" cy="341184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600" b="1" cap="none" spc="0">
                <a:ln w="0"/>
                <a:solidFill>
                  <a:schemeClr val="accent5">
                    <a:lumMod val="25000"/>
                  </a:schemeClr>
                </a:solidFill>
                <a:effectLst/>
                <a:latin typeface="Avenir Next LT Pro Light" panose="020B0304020202020204" pitchFamily="34" charset="0"/>
              </a:rPr>
              <a:t>DASHBOARD</a:t>
            </a:r>
          </a:p>
        </xdr:txBody>
      </xdr:sp>
      <xdr:pic>
        <xdr:nvPicPr>
          <xdr:cNvPr id="38" name="Gráfico 37">
            <a:extLst>
              <a:ext uri="{FF2B5EF4-FFF2-40B4-BE49-F238E27FC236}">
                <a16:creationId xmlns:a16="http://schemas.microsoft.com/office/drawing/2014/main" id="{DA0DE818-4BBD-4A25-9FCB-A6F82EE0F9B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 b="22091"/>
          <a:stretch/>
        </xdr:blipFill>
        <xdr:spPr>
          <a:xfrm>
            <a:off x="8874902" y="5029200"/>
            <a:ext cx="480559" cy="468000"/>
          </a:xfrm>
          <a:prstGeom prst="rect">
            <a:avLst/>
          </a:prstGeom>
        </xdr:spPr>
      </xdr:pic>
    </xdr:grpSp>
    <xdr:clientData/>
  </xdr:twoCellAnchor>
  <xdr:twoCellAnchor>
    <xdr:from>
      <xdr:col>144</xdr:col>
      <xdr:colOff>0</xdr:colOff>
      <xdr:row>67</xdr:row>
      <xdr:rowOff>68580</xdr:rowOff>
    </xdr:from>
    <xdr:to>
      <xdr:col>144</xdr:col>
      <xdr:colOff>0</xdr:colOff>
      <xdr:row>82</xdr:row>
      <xdr:rowOff>0</xdr:rowOff>
    </xdr:to>
    <xdr:grpSp>
      <xdr:nvGrpSpPr>
        <xdr:cNvPr id="56" name="Agrupar 55">
          <a:hlinkClick xmlns:r="http://schemas.openxmlformats.org/officeDocument/2006/relationships" r:id="rId11" tooltip="Sobre o Desenvolvedor"/>
          <a:extLst>
            <a:ext uri="{FF2B5EF4-FFF2-40B4-BE49-F238E27FC236}">
              <a16:creationId xmlns:a16="http://schemas.microsoft.com/office/drawing/2014/main" id="{70EB23ED-E22D-4EED-9B60-6241E49A5256}"/>
            </a:ext>
          </a:extLst>
        </xdr:cNvPr>
        <xdr:cNvGrpSpPr/>
      </xdr:nvGrpSpPr>
      <xdr:grpSpPr>
        <a:xfrm>
          <a:off x="12612414" y="5936856"/>
          <a:ext cx="0" cy="1245213"/>
          <a:chOff x="8770620" y="5737860"/>
          <a:chExt cx="2590800" cy="716280"/>
        </a:xfrm>
      </xdr:grpSpPr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id="{F6D45985-9C4E-46C4-B760-575DF01DBFE1}"/>
              </a:ext>
            </a:extLst>
          </xdr:cNvPr>
          <xdr:cNvGrpSpPr/>
        </xdr:nvGrpSpPr>
        <xdr:grpSpPr>
          <a:xfrm>
            <a:off x="8770620" y="5737860"/>
            <a:ext cx="2590800" cy="716280"/>
            <a:chOff x="7932420" y="3192780"/>
            <a:chExt cx="2590800" cy="716280"/>
          </a:xfrm>
        </xdr:grpSpPr>
        <xdr:sp macro="" textlink="">
          <xdr:nvSpPr>
            <xdr:cNvPr id="33" name="Retângulo: Cantos Arredondados 32">
              <a:extLst>
                <a:ext uri="{FF2B5EF4-FFF2-40B4-BE49-F238E27FC236}">
                  <a16:creationId xmlns:a16="http://schemas.microsoft.com/office/drawing/2014/main" id="{EDD9BA81-0A77-4AC2-8DD4-9F653AA7E6E1}"/>
                </a:ext>
              </a:extLst>
            </xdr:cNvPr>
            <xdr:cNvSpPr/>
          </xdr:nvSpPr>
          <xdr:spPr>
            <a:xfrm>
              <a:off x="8084820" y="3291840"/>
              <a:ext cx="2438400" cy="502920"/>
            </a:xfrm>
            <a:prstGeom prst="roundRect">
              <a:avLst>
                <a:gd name="adj" fmla="val 50000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4" name="Elipse 33">
              <a:extLst>
                <a:ext uri="{FF2B5EF4-FFF2-40B4-BE49-F238E27FC236}">
                  <a16:creationId xmlns:a16="http://schemas.microsoft.com/office/drawing/2014/main" id="{3913E8B4-AB77-4B1F-B1F3-9DB63FA8159E}"/>
                </a:ext>
              </a:extLst>
            </xdr:cNvPr>
            <xdr:cNvSpPr/>
          </xdr:nvSpPr>
          <xdr:spPr>
            <a:xfrm>
              <a:off x="7932420" y="3192780"/>
              <a:ext cx="716280" cy="716280"/>
            </a:xfrm>
            <a:prstGeom prst="ellipse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8EAC615B-3D80-40B1-9363-18A1D5EBFFAF}"/>
              </a:ext>
            </a:extLst>
          </xdr:cNvPr>
          <xdr:cNvSpPr/>
        </xdr:nvSpPr>
        <xdr:spPr>
          <a:xfrm>
            <a:off x="10274092" y="5935980"/>
            <a:ext cx="218085" cy="26988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endParaRPr lang="pt-BR" sz="1400" b="0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</a:endParaRPr>
          </a:p>
        </xdr:txBody>
      </xdr:sp>
      <xdr:pic>
        <xdr:nvPicPr>
          <xdr:cNvPr id="39" name="Gráfico 38">
            <a:extLst>
              <a:ext uri="{FF2B5EF4-FFF2-40B4-BE49-F238E27FC236}">
                <a16:creationId xmlns:a16="http://schemas.microsoft.com/office/drawing/2014/main" id="{F0B584D2-7865-4ECB-A241-871B8A2A717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rcRect l="9877" r="7951" b="22544"/>
          <a:stretch/>
        </xdr:blipFill>
        <xdr:spPr>
          <a:xfrm>
            <a:off x="8961121" y="5834519"/>
            <a:ext cx="427750" cy="504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53340</xdr:colOff>
      <xdr:row>4</xdr:row>
      <xdr:rowOff>38100</xdr:rowOff>
    </xdr:from>
    <xdr:to>
      <xdr:col>10</xdr:col>
      <xdr:colOff>47154</xdr:colOff>
      <xdr:row>8</xdr:row>
      <xdr:rowOff>85254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4619756F-6776-408A-A57C-93D2F378823B}"/>
            </a:ext>
          </a:extLst>
        </xdr:cNvPr>
        <xdr:cNvGrpSpPr/>
      </xdr:nvGrpSpPr>
      <xdr:grpSpPr>
        <a:xfrm>
          <a:off x="491271" y="388445"/>
          <a:ext cx="431745" cy="397499"/>
          <a:chOff x="434340" y="411480"/>
          <a:chExt cx="412914" cy="412914"/>
        </a:xfrm>
      </xdr:grpSpPr>
      <xdr:sp macro="[0]!EstaPastaDeTrabalho.tela_cheia" textlink="">
        <xdr:nvSpPr>
          <xdr:cNvPr id="45" name="Elipse 44">
            <a:extLst>
              <a:ext uri="{FF2B5EF4-FFF2-40B4-BE49-F238E27FC236}">
                <a16:creationId xmlns:a16="http://schemas.microsoft.com/office/drawing/2014/main" id="{2D52B223-5CF0-4BE5-ACC7-1AC7A9C5E539}"/>
              </a:ext>
            </a:extLst>
          </xdr:cNvPr>
          <xdr:cNvSpPr/>
        </xdr:nvSpPr>
        <xdr:spPr>
          <a:xfrm>
            <a:off x="434340" y="411480"/>
            <a:ext cx="412914" cy="412914"/>
          </a:xfrm>
          <a:prstGeom prst="ellipse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" name="Agrupar 8">
            <a:extLst>
              <a:ext uri="{FF2B5EF4-FFF2-40B4-BE49-F238E27FC236}">
                <a16:creationId xmlns:a16="http://schemas.microsoft.com/office/drawing/2014/main" id="{84391DE0-0316-44E8-B4FF-DA63E1F002B9}"/>
              </a:ext>
            </a:extLst>
          </xdr:cNvPr>
          <xdr:cNvGrpSpPr/>
        </xdr:nvGrpSpPr>
        <xdr:grpSpPr>
          <a:xfrm>
            <a:off x="472440" y="449580"/>
            <a:ext cx="324000" cy="324000"/>
            <a:chOff x="7109460" y="914400"/>
            <a:chExt cx="720000" cy="720000"/>
          </a:xfrm>
        </xdr:grpSpPr>
        <xdr:pic macro="[0]!EstaPastaDeTrabalho.tela_cheia">
          <xdr:nvPicPr>
            <xdr:cNvPr id="12" name="Gráfico 11" descr="Lupa">
              <a:extLst>
                <a:ext uri="{FF2B5EF4-FFF2-40B4-BE49-F238E27FC236}">
                  <a16:creationId xmlns:a16="http://schemas.microsoft.com/office/drawing/2014/main" id="{0D743640-E9C6-4DFF-B8EC-49DCC9AA90D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7109460" y="914400"/>
              <a:ext cx="720000" cy="720000"/>
            </a:xfrm>
            <a:prstGeom prst="rect">
              <a:avLst/>
            </a:prstGeom>
          </xdr:spPr>
        </xdr:pic>
        <xdr:sp macro="[0]!EstaPastaDeTrabalho.tela_cheia" textlink="">
          <xdr:nvSpPr>
            <xdr:cNvPr id="13" name="Sinal de Adição 12">
              <a:extLst>
                <a:ext uri="{FF2B5EF4-FFF2-40B4-BE49-F238E27FC236}">
                  <a16:creationId xmlns:a16="http://schemas.microsoft.com/office/drawing/2014/main" id="{E577A090-5E45-4AEC-90C8-3E5AAB3B4753}"/>
                </a:ext>
              </a:extLst>
            </xdr:cNvPr>
            <xdr:cNvSpPr/>
          </xdr:nvSpPr>
          <xdr:spPr>
            <a:xfrm>
              <a:off x="7231380" y="1036320"/>
              <a:ext cx="324000" cy="324000"/>
            </a:xfrm>
            <a:prstGeom prst="mathPlus">
              <a:avLst/>
            </a:prstGeom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</xdr:grpSp>
    <xdr:clientData/>
  </xdr:twoCellAnchor>
  <xdr:twoCellAnchor>
    <xdr:from>
      <xdr:col>12</xdr:col>
      <xdr:colOff>60956</xdr:colOff>
      <xdr:row>4</xdr:row>
      <xdr:rowOff>38100</xdr:rowOff>
    </xdr:from>
    <xdr:to>
      <xdr:col>17</xdr:col>
      <xdr:colOff>54770</xdr:colOff>
      <xdr:row>8</xdr:row>
      <xdr:rowOff>85254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2FAA58E4-E4E5-4616-A912-53243335767C}"/>
            </a:ext>
          </a:extLst>
        </xdr:cNvPr>
        <xdr:cNvGrpSpPr/>
      </xdr:nvGrpSpPr>
      <xdr:grpSpPr>
        <a:xfrm>
          <a:off x="1111990" y="388445"/>
          <a:ext cx="431746" cy="397499"/>
          <a:chOff x="434336" y="922020"/>
          <a:chExt cx="412914" cy="412914"/>
        </a:xfrm>
      </xdr:grpSpPr>
      <xdr:sp macro="[0]!EstaPastaDeTrabalho.tela_liberada" textlink="">
        <xdr:nvSpPr>
          <xdr:cNvPr id="49" name="Elipse 48">
            <a:extLst>
              <a:ext uri="{FF2B5EF4-FFF2-40B4-BE49-F238E27FC236}">
                <a16:creationId xmlns:a16="http://schemas.microsoft.com/office/drawing/2014/main" id="{45361371-871C-44E6-B965-85E2C7B3B1E6}"/>
              </a:ext>
            </a:extLst>
          </xdr:cNvPr>
          <xdr:cNvSpPr/>
        </xdr:nvSpPr>
        <xdr:spPr>
          <a:xfrm>
            <a:off x="434336" y="922020"/>
            <a:ext cx="412914" cy="412914"/>
          </a:xfrm>
          <a:prstGeom prst="ellipse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B40D7BF2-32BE-402C-B54D-CFDC5015B290}"/>
              </a:ext>
            </a:extLst>
          </xdr:cNvPr>
          <xdr:cNvGrpSpPr/>
        </xdr:nvGrpSpPr>
        <xdr:grpSpPr>
          <a:xfrm>
            <a:off x="464820" y="952500"/>
            <a:ext cx="324000" cy="324000"/>
            <a:chOff x="8587740" y="914400"/>
            <a:chExt cx="720000" cy="720000"/>
          </a:xfrm>
        </xdr:grpSpPr>
        <xdr:pic macro="[0]!EstaPastaDeTrabalho.tela_liberada">
          <xdr:nvPicPr>
            <xdr:cNvPr id="15" name="Gráfico 14" descr="Lupa">
              <a:extLst>
                <a:ext uri="{FF2B5EF4-FFF2-40B4-BE49-F238E27FC236}">
                  <a16:creationId xmlns:a16="http://schemas.microsoft.com/office/drawing/2014/main" id="{FCD7B66F-6118-41E1-A968-71FCB2FFBCC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8587740" y="914400"/>
              <a:ext cx="720000" cy="720000"/>
            </a:xfrm>
            <a:prstGeom prst="rect">
              <a:avLst/>
            </a:prstGeom>
          </xdr:spPr>
        </xdr:pic>
        <xdr:sp macro="[0]!EstaPastaDeTrabalho.tela_liberada" textlink="">
          <xdr:nvSpPr>
            <xdr:cNvPr id="16" name="Sinal de Subtração 15">
              <a:extLst>
                <a:ext uri="{FF2B5EF4-FFF2-40B4-BE49-F238E27FC236}">
                  <a16:creationId xmlns:a16="http://schemas.microsoft.com/office/drawing/2014/main" id="{628F98F2-34DD-4B35-8DFA-D8E9E7498EA5}"/>
                </a:ext>
              </a:extLst>
            </xdr:cNvPr>
            <xdr:cNvSpPr/>
          </xdr:nvSpPr>
          <xdr:spPr>
            <a:xfrm>
              <a:off x="8709660" y="1043940"/>
              <a:ext cx="324000" cy="324000"/>
            </a:xfrm>
            <a:prstGeom prst="mathMinus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</xdr:grpSp>
    <xdr:clientData/>
  </xdr:twoCellAnchor>
  <xdr:oneCellAnchor>
    <xdr:from>
      <xdr:col>22</xdr:col>
      <xdr:colOff>43933</xdr:colOff>
      <xdr:row>70</xdr:row>
      <xdr:rowOff>30480</xdr:rowOff>
    </xdr:from>
    <xdr:ext cx="184731" cy="403444"/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17455CE1-03D4-4B8F-98B2-5E3A3E5AE300}"/>
            </a:ext>
          </a:extLst>
        </xdr:cNvPr>
        <xdr:cNvSpPr/>
      </xdr:nvSpPr>
      <xdr:spPr>
        <a:xfrm>
          <a:off x="1887973" y="6431280"/>
          <a:ext cx="184731" cy="40344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l"/>
          <a:endParaRPr lang="pt-BR" sz="2000" b="0" i="0" cap="none" spc="0">
            <a:ln w="0"/>
            <a:solidFill>
              <a:schemeClr val="accent6"/>
            </a:solidFill>
            <a:effectLst/>
            <a:latin typeface="Avenir Next LT Pro Light" panose="020B0304020202020204" pitchFamily="34" charset="0"/>
          </a:endParaRPr>
        </a:p>
      </xdr:txBody>
    </xdr:sp>
    <xdr:clientData/>
  </xdr:oneCellAnchor>
  <xdr:twoCellAnchor editAs="oneCell">
    <xdr:from>
      <xdr:col>118</xdr:col>
      <xdr:colOff>55618</xdr:colOff>
      <xdr:row>0</xdr:row>
      <xdr:rowOff>52552</xdr:rowOff>
    </xdr:from>
    <xdr:to>
      <xdr:col>143</xdr:col>
      <xdr:colOff>17517</xdr:colOff>
      <xdr:row>7</xdr:row>
      <xdr:rowOff>17518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C196E230-8DCD-41D2-B347-AE0B0CAF8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0790" y="52552"/>
          <a:ext cx="2151555" cy="5780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121920</xdr:colOff>
      <xdr:row>0</xdr:row>
      <xdr:rowOff>45720</xdr:rowOff>
    </xdr:from>
    <xdr:to>
      <xdr:col>1</xdr:col>
      <xdr:colOff>160020</xdr:colOff>
      <xdr:row>0</xdr:row>
      <xdr:rowOff>381000</xdr:rowOff>
    </xdr:to>
    <xdr:grpSp>
      <xdr:nvGrpSpPr>
        <xdr:cNvPr id="2" name="Agrupar 1">
          <a:hlinkClick xmlns:r="http://schemas.openxmlformats.org/officeDocument/2006/relationships" r:id="rId1" tooltip="Menu Inicial"/>
          <a:extLst>
            <a:ext uri="{FF2B5EF4-FFF2-40B4-BE49-F238E27FC236}">
              <a16:creationId xmlns:a16="http://schemas.microsoft.com/office/drawing/2014/main" id="{3218694E-5E1C-4448-AC77-D8DAFFBD7A85}"/>
            </a:ext>
          </a:extLst>
        </xdr:cNvPr>
        <xdr:cNvGrpSpPr/>
      </xdr:nvGrpSpPr>
      <xdr:grpSpPr>
        <a:xfrm>
          <a:off x="121920" y="45720"/>
          <a:ext cx="335280" cy="335280"/>
          <a:chOff x="121920" y="45720"/>
          <a:chExt cx="335280" cy="335280"/>
        </a:xfrm>
      </xdr:grpSpPr>
      <xdr:sp macro="" textlink="">
        <xdr:nvSpPr>
          <xdr:cNvPr id="4" name="Elipse 3">
            <a:extLst>
              <a:ext uri="{FF2B5EF4-FFF2-40B4-BE49-F238E27FC236}">
                <a16:creationId xmlns:a16="http://schemas.microsoft.com/office/drawing/2014/main" id="{D95A1C69-105A-4F91-B30D-7457E06B3A7C}"/>
              </a:ext>
            </a:extLst>
          </xdr:cNvPr>
          <xdr:cNvSpPr/>
        </xdr:nvSpPr>
        <xdr:spPr>
          <a:xfrm>
            <a:off x="121920" y="45720"/>
            <a:ext cx="335280" cy="335280"/>
          </a:xfrm>
          <a:prstGeom prst="ellipse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" name="Gráfico 4">
            <a:extLst>
              <a:ext uri="{FF2B5EF4-FFF2-40B4-BE49-F238E27FC236}">
                <a16:creationId xmlns:a16="http://schemas.microsoft.com/office/drawing/2014/main" id="{BBBFB7F3-9502-47D9-9CFD-8A78C83D9C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7640" y="76200"/>
            <a:ext cx="252000" cy="25200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220980</xdr:colOff>
      <xdr:row>0</xdr:row>
      <xdr:rowOff>22860</xdr:rowOff>
    </xdr:from>
    <xdr:to>
      <xdr:col>2</xdr:col>
      <xdr:colOff>1813560</xdr:colOff>
      <xdr:row>0</xdr:row>
      <xdr:rowOff>425027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AA7D2002-909B-41FE-A29D-53BADC3955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160" y="22860"/>
          <a:ext cx="1889760" cy="4021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129540</xdr:colOff>
      <xdr:row>0</xdr:row>
      <xdr:rowOff>53340</xdr:rowOff>
    </xdr:from>
    <xdr:to>
      <xdr:col>1</xdr:col>
      <xdr:colOff>167640</xdr:colOff>
      <xdr:row>0</xdr:row>
      <xdr:rowOff>388620</xdr:rowOff>
    </xdr:to>
    <xdr:grpSp>
      <xdr:nvGrpSpPr>
        <xdr:cNvPr id="4" name="Agrupar 3">
          <a:hlinkClick xmlns:r="http://schemas.openxmlformats.org/officeDocument/2006/relationships" r:id="rId1" tooltip="Menu Inicial"/>
          <a:extLst>
            <a:ext uri="{FF2B5EF4-FFF2-40B4-BE49-F238E27FC236}">
              <a16:creationId xmlns:a16="http://schemas.microsoft.com/office/drawing/2014/main" id="{FD38A76A-9F6E-4EA6-B7FE-602D12B1FA5A}"/>
            </a:ext>
          </a:extLst>
        </xdr:cNvPr>
        <xdr:cNvGrpSpPr/>
      </xdr:nvGrpSpPr>
      <xdr:grpSpPr>
        <a:xfrm>
          <a:off x="129540" y="53340"/>
          <a:ext cx="335280" cy="335280"/>
          <a:chOff x="121920" y="45720"/>
          <a:chExt cx="335280" cy="335280"/>
        </a:xfrm>
      </xdr:grpSpPr>
      <xdr:sp macro="" textlink="">
        <xdr:nvSpPr>
          <xdr:cNvPr id="5" name="Elipse 4">
            <a:extLst>
              <a:ext uri="{FF2B5EF4-FFF2-40B4-BE49-F238E27FC236}">
                <a16:creationId xmlns:a16="http://schemas.microsoft.com/office/drawing/2014/main" id="{4D7FE8F1-BCD8-48F5-991E-18FB9335224C}"/>
              </a:ext>
            </a:extLst>
          </xdr:cNvPr>
          <xdr:cNvSpPr/>
        </xdr:nvSpPr>
        <xdr:spPr>
          <a:xfrm>
            <a:off x="121920" y="45720"/>
            <a:ext cx="335280" cy="335280"/>
          </a:xfrm>
          <a:prstGeom prst="ellipse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6" name="Gráfico 5">
            <a:extLst>
              <a:ext uri="{FF2B5EF4-FFF2-40B4-BE49-F238E27FC236}">
                <a16:creationId xmlns:a16="http://schemas.microsoft.com/office/drawing/2014/main" id="{59F80BEE-E4C1-4E83-9F14-289970C24C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7640" y="76200"/>
            <a:ext cx="252000" cy="25200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236220</xdr:colOff>
      <xdr:row>0</xdr:row>
      <xdr:rowOff>53340</xdr:rowOff>
    </xdr:from>
    <xdr:to>
      <xdr:col>4</xdr:col>
      <xdr:colOff>335280</xdr:colOff>
      <xdr:row>0</xdr:row>
      <xdr:rowOff>440267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1C58C956-E475-45FE-A230-5155E37B0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53340"/>
          <a:ext cx="1889760" cy="38692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289561</xdr:colOff>
      <xdr:row>2</xdr:row>
      <xdr:rowOff>213359</xdr:rowOff>
    </xdr:from>
    <xdr:to>
      <xdr:col>5</xdr:col>
      <xdr:colOff>37366</xdr:colOff>
      <xdr:row>4</xdr:row>
      <xdr:rowOff>147807</xdr:rowOff>
    </xdr:to>
    <xdr:pic>
      <xdr:nvPicPr>
        <xdr:cNvPr id="3" name="Gráfico 2">
          <a:extLst>
            <a:ext uri="{FF2B5EF4-FFF2-40B4-BE49-F238E27FC236}">
              <a16:creationId xmlns:a16="http://schemas.microsoft.com/office/drawing/2014/main" id="{ED91EC34-47FE-40A4-A23B-F4D484045A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l="12227" t="5939" r="14847" b="30131"/>
        <a:stretch/>
      </xdr:blipFill>
      <xdr:spPr>
        <a:xfrm>
          <a:off x="2186941" y="716279"/>
          <a:ext cx="357405" cy="391648"/>
        </a:xfrm>
        <a:prstGeom prst="rect">
          <a:avLst/>
        </a:prstGeom>
      </xdr:spPr>
    </xdr:pic>
    <xdr:clientData/>
  </xdr:twoCellAnchor>
  <xdr:twoCellAnchor editAs="oneCell">
    <xdr:from>
      <xdr:col>0</xdr:col>
      <xdr:colOff>281942</xdr:colOff>
      <xdr:row>2</xdr:row>
      <xdr:rowOff>208561</xdr:rowOff>
    </xdr:from>
    <xdr:to>
      <xdr:col>1</xdr:col>
      <xdr:colOff>60138</xdr:colOff>
      <xdr:row>4</xdr:row>
      <xdr:rowOff>143009</xdr:rowOff>
    </xdr:to>
    <xdr:pic>
      <xdr:nvPicPr>
        <xdr:cNvPr id="7" name="Gráfico 6">
          <a:extLst>
            <a:ext uri="{FF2B5EF4-FFF2-40B4-BE49-F238E27FC236}">
              <a16:creationId xmlns:a16="http://schemas.microsoft.com/office/drawing/2014/main" id="{54773FCB-409E-43DD-9D7E-BF8F1313483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rcRect b="19534"/>
        <a:stretch/>
      </xdr:blipFill>
      <xdr:spPr>
        <a:xfrm>
          <a:off x="281942" y="711481"/>
          <a:ext cx="387796" cy="391648"/>
        </a:xfrm>
        <a:prstGeom prst="rect">
          <a:avLst/>
        </a:prstGeom>
      </xdr:spPr>
    </xdr:pic>
    <xdr:clientData/>
  </xdr:twoCellAnchor>
  <xdr:twoCellAnchor editAs="oneCell">
    <xdr:from>
      <xdr:col>5</xdr:col>
      <xdr:colOff>601981</xdr:colOff>
      <xdr:row>2</xdr:row>
      <xdr:rowOff>198539</xdr:rowOff>
    </xdr:from>
    <xdr:to>
      <xdr:col>6</xdr:col>
      <xdr:colOff>375736</xdr:colOff>
      <xdr:row>4</xdr:row>
      <xdr:rowOff>132987</xdr:rowOff>
    </xdr:to>
    <xdr:pic>
      <xdr:nvPicPr>
        <xdr:cNvPr id="9" name="Gráfico 8">
          <a:extLst>
            <a:ext uri="{FF2B5EF4-FFF2-40B4-BE49-F238E27FC236}">
              <a16:creationId xmlns:a16="http://schemas.microsoft.com/office/drawing/2014/main" id="{57700614-6E2B-4A0E-B5C3-BF726EF2D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rcRect b="18270"/>
        <a:stretch/>
      </xdr:blipFill>
      <xdr:spPr>
        <a:xfrm>
          <a:off x="3108961" y="701459"/>
          <a:ext cx="383355" cy="391648"/>
        </a:xfrm>
        <a:prstGeom prst="rect">
          <a:avLst/>
        </a:prstGeom>
      </xdr:spPr>
    </xdr:pic>
    <xdr:clientData/>
  </xdr:twoCellAnchor>
  <xdr:twoCellAnchor editAs="oneCell">
    <xdr:from>
      <xdr:col>0</xdr:col>
      <xdr:colOff>312420</xdr:colOff>
      <xdr:row>6</xdr:row>
      <xdr:rowOff>38100</xdr:rowOff>
    </xdr:from>
    <xdr:to>
      <xdr:col>2</xdr:col>
      <xdr:colOff>22861</xdr:colOff>
      <xdr:row>7</xdr:row>
      <xdr:rowOff>198121</xdr:rowOff>
    </xdr:to>
    <xdr:pic>
      <xdr:nvPicPr>
        <xdr:cNvPr id="15" name="Gráfico 14" descr="Nascer do sol">
          <a:extLst>
            <a:ext uri="{FF2B5EF4-FFF2-40B4-BE49-F238E27FC236}">
              <a16:creationId xmlns:a16="http://schemas.microsoft.com/office/drawing/2014/main" id="{187B6F11-429C-4484-836D-5823BC4606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12420" y="1455420"/>
          <a:ext cx="388621" cy="388621"/>
        </a:xfrm>
        <a:prstGeom prst="rect">
          <a:avLst/>
        </a:prstGeom>
      </xdr:spPr>
    </xdr:pic>
    <xdr:clientData/>
  </xdr:twoCellAnchor>
  <xdr:twoCellAnchor editAs="oneCell">
    <xdr:from>
      <xdr:col>2</xdr:col>
      <xdr:colOff>472440</xdr:colOff>
      <xdr:row>6</xdr:row>
      <xdr:rowOff>76200</xdr:rowOff>
    </xdr:from>
    <xdr:to>
      <xdr:col>3</xdr:col>
      <xdr:colOff>400824</xdr:colOff>
      <xdr:row>8</xdr:row>
      <xdr:rowOff>7621</xdr:rowOff>
    </xdr:to>
    <xdr:pic>
      <xdr:nvPicPr>
        <xdr:cNvPr id="17" name="Gráfico 16">
          <a:extLst>
            <a:ext uri="{FF2B5EF4-FFF2-40B4-BE49-F238E27FC236}">
              <a16:creationId xmlns:a16="http://schemas.microsoft.com/office/drawing/2014/main" id="{1D9AE04D-97AD-4287-AABE-B7E4D18ED8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rcRect l="7800" r="8450" b="18076"/>
        <a:stretch/>
      </xdr:blipFill>
      <xdr:spPr>
        <a:xfrm>
          <a:off x="1150620" y="1493520"/>
          <a:ext cx="537984" cy="388621"/>
        </a:xfrm>
        <a:prstGeom prst="rect">
          <a:avLst/>
        </a:prstGeom>
      </xdr:spPr>
    </xdr:pic>
    <xdr:clientData/>
  </xdr:twoCellAnchor>
  <xdr:twoCellAnchor editAs="oneCell">
    <xdr:from>
      <xdr:col>0</xdr:col>
      <xdr:colOff>251460</xdr:colOff>
      <xdr:row>9</xdr:row>
      <xdr:rowOff>152400</xdr:rowOff>
    </xdr:from>
    <xdr:to>
      <xdr:col>2</xdr:col>
      <xdr:colOff>41134</xdr:colOff>
      <xdr:row>11</xdr:row>
      <xdr:rowOff>83821</xdr:rowOff>
    </xdr:to>
    <xdr:pic>
      <xdr:nvPicPr>
        <xdr:cNvPr id="19" name="Gráfico 18">
          <a:extLst>
            <a:ext uri="{FF2B5EF4-FFF2-40B4-BE49-F238E27FC236}">
              <a16:creationId xmlns:a16="http://schemas.microsoft.com/office/drawing/2014/main" id="{17BFF897-FD16-4C29-B289-78A08DC925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rcRect t="6452" b="27097"/>
        <a:stretch/>
      </xdr:blipFill>
      <xdr:spPr>
        <a:xfrm>
          <a:off x="251460" y="2255520"/>
          <a:ext cx="467854" cy="388621"/>
        </a:xfrm>
        <a:prstGeom prst="rect">
          <a:avLst/>
        </a:prstGeom>
      </xdr:spPr>
    </xdr:pic>
    <xdr:clientData/>
  </xdr:twoCellAnchor>
  <xdr:twoCellAnchor editAs="oneCell">
    <xdr:from>
      <xdr:col>3</xdr:col>
      <xdr:colOff>53340</xdr:colOff>
      <xdr:row>9</xdr:row>
      <xdr:rowOff>150001</xdr:rowOff>
    </xdr:from>
    <xdr:to>
      <xdr:col>3</xdr:col>
      <xdr:colOff>377730</xdr:colOff>
      <xdr:row>11</xdr:row>
      <xdr:rowOff>81422</xdr:rowOff>
    </xdr:to>
    <xdr:pic>
      <xdr:nvPicPr>
        <xdr:cNvPr id="21" name="Gráfico 20">
          <a:extLst>
            <a:ext uri="{FF2B5EF4-FFF2-40B4-BE49-F238E27FC236}">
              <a16:creationId xmlns:a16="http://schemas.microsoft.com/office/drawing/2014/main" id="{D1D964F4-5487-4DFE-809E-F358E515CB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rcRect l="7864" r="7677" b="18561"/>
        <a:stretch/>
      </xdr:blipFill>
      <xdr:spPr>
        <a:xfrm>
          <a:off x="1341120" y="2253121"/>
          <a:ext cx="324390" cy="388621"/>
        </a:xfrm>
        <a:prstGeom prst="rect">
          <a:avLst/>
        </a:prstGeom>
      </xdr:spPr>
    </xdr:pic>
    <xdr:clientData/>
  </xdr:twoCellAnchor>
  <xdr:twoCellAnchor editAs="oneCell">
    <xdr:from>
      <xdr:col>4</xdr:col>
      <xdr:colOff>426721</xdr:colOff>
      <xdr:row>9</xdr:row>
      <xdr:rowOff>167639</xdr:rowOff>
    </xdr:from>
    <xdr:to>
      <xdr:col>5</xdr:col>
      <xdr:colOff>144380</xdr:colOff>
      <xdr:row>11</xdr:row>
      <xdr:rowOff>99060</xdr:rowOff>
    </xdr:to>
    <xdr:pic>
      <xdr:nvPicPr>
        <xdr:cNvPr id="23" name="Gráfico 22">
          <a:extLst>
            <a:ext uri="{FF2B5EF4-FFF2-40B4-BE49-F238E27FC236}">
              <a16:creationId xmlns:a16="http://schemas.microsoft.com/office/drawing/2014/main" id="{65DC69D8-0142-432C-9B44-33A1860251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rcRect l="14551" t="5355" r="14732" b="27465"/>
        <a:stretch/>
      </xdr:blipFill>
      <xdr:spPr>
        <a:xfrm>
          <a:off x="2324101" y="2270759"/>
          <a:ext cx="327259" cy="388621"/>
        </a:xfrm>
        <a:prstGeom prst="rect">
          <a:avLst/>
        </a:prstGeom>
      </xdr:spPr>
    </xdr:pic>
    <xdr:clientData/>
  </xdr:twoCellAnchor>
  <xdr:twoCellAnchor>
    <xdr:from>
      <xdr:col>11</xdr:col>
      <xdr:colOff>541020</xdr:colOff>
      <xdr:row>2</xdr:row>
      <xdr:rowOff>205740</xdr:rowOff>
    </xdr:from>
    <xdr:to>
      <xdr:col>12</xdr:col>
      <xdr:colOff>323067</xdr:colOff>
      <xdr:row>4</xdr:row>
      <xdr:rowOff>129540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8C32FBC0-9520-4C8E-98FD-16387BD03B2B}"/>
            </a:ext>
          </a:extLst>
        </xdr:cNvPr>
        <xdr:cNvGrpSpPr/>
      </xdr:nvGrpSpPr>
      <xdr:grpSpPr>
        <a:xfrm>
          <a:off x="6705600" y="708660"/>
          <a:ext cx="391647" cy="381000"/>
          <a:chOff x="7109460" y="914400"/>
          <a:chExt cx="720000" cy="720000"/>
        </a:xfrm>
      </xdr:grpSpPr>
      <xdr:pic>
        <xdr:nvPicPr>
          <xdr:cNvPr id="4" name="Gráfico 3" descr="Lupa">
            <a:extLst>
              <a:ext uri="{FF2B5EF4-FFF2-40B4-BE49-F238E27FC236}">
                <a16:creationId xmlns:a16="http://schemas.microsoft.com/office/drawing/2014/main" id="{7A274AA5-9FF9-40D8-816C-8FC0037CE6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7109460" y="914400"/>
            <a:ext cx="720000" cy="720000"/>
          </a:xfrm>
          <a:prstGeom prst="rect">
            <a:avLst/>
          </a:prstGeom>
        </xdr:spPr>
      </xdr:pic>
      <xdr:sp macro="" textlink="">
        <xdr:nvSpPr>
          <xdr:cNvPr id="6" name="Sinal de Adição 5">
            <a:extLst>
              <a:ext uri="{FF2B5EF4-FFF2-40B4-BE49-F238E27FC236}">
                <a16:creationId xmlns:a16="http://schemas.microsoft.com/office/drawing/2014/main" id="{2493886B-D1D6-467A-8F5D-33F63C911AE0}"/>
              </a:ext>
            </a:extLst>
          </xdr:cNvPr>
          <xdr:cNvSpPr/>
        </xdr:nvSpPr>
        <xdr:spPr>
          <a:xfrm>
            <a:off x="7231380" y="1036320"/>
            <a:ext cx="324000" cy="324000"/>
          </a:xfrm>
          <a:prstGeom prst="mathPlu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13</xdr:col>
      <xdr:colOff>76200</xdr:colOff>
      <xdr:row>2</xdr:row>
      <xdr:rowOff>190500</xdr:rowOff>
    </xdr:from>
    <xdr:to>
      <xdr:col>13</xdr:col>
      <xdr:colOff>467847</xdr:colOff>
      <xdr:row>4</xdr:row>
      <xdr:rowOff>114300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C32BDF79-FFF4-43F3-AAF1-4E34A1CA04EE}"/>
            </a:ext>
          </a:extLst>
        </xdr:cNvPr>
        <xdr:cNvGrpSpPr/>
      </xdr:nvGrpSpPr>
      <xdr:grpSpPr>
        <a:xfrm>
          <a:off x="7459980" y="693420"/>
          <a:ext cx="391647" cy="381000"/>
          <a:chOff x="8587740" y="914400"/>
          <a:chExt cx="720000" cy="720000"/>
        </a:xfrm>
      </xdr:grpSpPr>
      <xdr:pic>
        <xdr:nvPicPr>
          <xdr:cNvPr id="16" name="Gráfico 15" descr="Lupa">
            <a:extLst>
              <a:ext uri="{FF2B5EF4-FFF2-40B4-BE49-F238E27FC236}">
                <a16:creationId xmlns:a16="http://schemas.microsoft.com/office/drawing/2014/main" id="{FF3A1628-EC06-426F-BD40-22C7B67628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8587740" y="914400"/>
            <a:ext cx="720000" cy="720000"/>
          </a:xfrm>
          <a:prstGeom prst="rect">
            <a:avLst/>
          </a:prstGeom>
        </xdr:spPr>
      </xdr:pic>
      <xdr:sp macro="" textlink="">
        <xdr:nvSpPr>
          <xdr:cNvPr id="8" name="Sinal de Subtração 7">
            <a:extLst>
              <a:ext uri="{FF2B5EF4-FFF2-40B4-BE49-F238E27FC236}">
                <a16:creationId xmlns:a16="http://schemas.microsoft.com/office/drawing/2014/main" id="{D85B4CA7-432D-4B8D-A756-9436A732CE45}"/>
              </a:ext>
            </a:extLst>
          </xdr:cNvPr>
          <xdr:cNvSpPr/>
        </xdr:nvSpPr>
        <xdr:spPr>
          <a:xfrm>
            <a:off x="8709660" y="1043940"/>
            <a:ext cx="324000" cy="324000"/>
          </a:xfrm>
          <a:prstGeom prst="mathMinus">
            <a:avLst/>
          </a:prstGeom>
          <a:solidFill>
            <a:schemeClr val="accent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14</xdr:col>
      <xdr:colOff>434340</xdr:colOff>
      <xdr:row>2</xdr:row>
      <xdr:rowOff>114301</xdr:rowOff>
    </xdr:from>
    <xdr:to>
      <xdr:col>15</xdr:col>
      <xdr:colOff>143900</xdr:colOff>
      <xdr:row>4</xdr:row>
      <xdr:rowOff>28298</xdr:rowOff>
    </xdr:to>
    <xdr:pic>
      <xdr:nvPicPr>
        <xdr:cNvPr id="22" name="Gráfico 21">
          <a:extLst>
            <a:ext uri="{FF2B5EF4-FFF2-40B4-BE49-F238E27FC236}">
              <a16:creationId xmlns:a16="http://schemas.microsoft.com/office/drawing/2014/main" id="{572AF290-F0FE-43C4-8735-8C403E6F5C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rcRect l="8990" t="3425" r="12243" b="23288"/>
        <a:stretch/>
      </xdr:blipFill>
      <xdr:spPr>
        <a:xfrm>
          <a:off x="8427720" y="617221"/>
          <a:ext cx="319160" cy="371197"/>
        </a:xfrm>
        <a:prstGeom prst="rect">
          <a:avLst/>
        </a:prstGeom>
      </xdr:spPr>
    </xdr:pic>
    <xdr:clientData/>
  </xdr:twoCellAnchor>
  <xdr:twoCellAnchor editAs="oneCell">
    <xdr:from>
      <xdr:col>15</xdr:col>
      <xdr:colOff>541019</xdr:colOff>
      <xdr:row>2</xdr:row>
      <xdr:rowOff>152400</xdr:rowOff>
    </xdr:from>
    <xdr:to>
      <xdr:col>16</xdr:col>
      <xdr:colOff>271304</xdr:colOff>
      <xdr:row>4</xdr:row>
      <xdr:rowOff>29856</xdr:rowOff>
    </xdr:to>
    <xdr:pic>
      <xdr:nvPicPr>
        <xdr:cNvPr id="20" name="Gráfico 19">
          <a:extLst>
            <a:ext uri="{FF2B5EF4-FFF2-40B4-BE49-F238E27FC236}">
              <a16:creationId xmlns:a16="http://schemas.microsoft.com/office/drawing/2014/main" id="{F43211B3-775E-472B-A4EE-E2AB33F6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rcRect l="10559" t="8404" r="8695" b="28318"/>
        <a:stretch/>
      </xdr:blipFill>
      <xdr:spPr>
        <a:xfrm>
          <a:off x="9143999" y="655320"/>
          <a:ext cx="339885" cy="334656"/>
        </a:xfrm>
        <a:prstGeom prst="rect">
          <a:avLst/>
        </a:prstGeom>
      </xdr:spPr>
    </xdr:pic>
    <xdr:clientData/>
  </xdr:twoCellAnchor>
  <xdr:twoCellAnchor editAs="oneCell">
    <xdr:from>
      <xdr:col>18</xdr:col>
      <xdr:colOff>203340</xdr:colOff>
      <xdr:row>2</xdr:row>
      <xdr:rowOff>43321</xdr:rowOff>
    </xdr:from>
    <xdr:to>
      <xdr:col>19</xdr:col>
      <xdr:colOff>26119</xdr:colOff>
      <xdr:row>4</xdr:row>
      <xdr:rowOff>7200</xdr:rowOff>
    </xdr:to>
    <xdr:pic>
      <xdr:nvPicPr>
        <xdr:cNvPr id="25" name="Gráfico 24">
          <a:extLst>
            <a:ext uri="{FF2B5EF4-FFF2-40B4-BE49-F238E27FC236}">
              <a16:creationId xmlns:a16="http://schemas.microsoft.com/office/drawing/2014/main" id="{C518A69B-A121-473C-802A-9010C494A0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rcRect b="22091"/>
        <a:stretch/>
      </xdr:blipFill>
      <xdr:spPr>
        <a:xfrm>
          <a:off x="10635120" y="546241"/>
          <a:ext cx="432379" cy="421079"/>
        </a:xfrm>
        <a:prstGeom prst="rect">
          <a:avLst/>
        </a:prstGeom>
      </xdr:spPr>
    </xdr:pic>
    <xdr:clientData/>
  </xdr:twoCellAnchor>
  <xdr:twoCellAnchor editAs="oneCell">
    <xdr:from>
      <xdr:col>19</xdr:col>
      <xdr:colOff>518160</xdr:colOff>
      <xdr:row>2</xdr:row>
      <xdr:rowOff>160020</xdr:rowOff>
    </xdr:from>
    <xdr:to>
      <xdr:col>20</xdr:col>
      <xdr:colOff>269169</xdr:colOff>
      <xdr:row>4</xdr:row>
      <xdr:rowOff>63429</xdr:rowOff>
    </xdr:to>
    <xdr:pic>
      <xdr:nvPicPr>
        <xdr:cNvPr id="29" name="Gráfico 28">
          <a:extLst>
            <a:ext uri="{FF2B5EF4-FFF2-40B4-BE49-F238E27FC236}">
              <a16:creationId xmlns:a16="http://schemas.microsoft.com/office/drawing/2014/main" id="{17BA854E-6623-4D50-9DEF-8081D1F796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1559540" y="662940"/>
          <a:ext cx="360609" cy="360609"/>
        </a:xfrm>
        <a:prstGeom prst="rect">
          <a:avLst/>
        </a:prstGeom>
      </xdr:spPr>
    </xdr:pic>
    <xdr:clientData/>
  </xdr:twoCellAnchor>
  <xdr:twoCellAnchor>
    <xdr:from>
      <xdr:col>0</xdr:col>
      <xdr:colOff>137160</xdr:colOff>
      <xdr:row>0</xdr:row>
      <xdr:rowOff>45720</xdr:rowOff>
    </xdr:from>
    <xdr:to>
      <xdr:col>0</xdr:col>
      <xdr:colOff>472440</xdr:colOff>
      <xdr:row>0</xdr:row>
      <xdr:rowOff>381000</xdr:rowOff>
    </xdr:to>
    <xdr:grpSp>
      <xdr:nvGrpSpPr>
        <xdr:cNvPr id="32" name="Agrupar 31">
          <a:hlinkClick xmlns:r="http://schemas.openxmlformats.org/officeDocument/2006/relationships" r:id="rId27" tooltip="Menu Inicial"/>
          <a:extLst>
            <a:ext uri="{FF2B5EF4-FFF2-40B4-BE49-F238E27FC236}">
              <a16:creationId xmlns:a16="http://schemas.microsoft.com/office/drawing/2014/main" id="{282DB067-E4FF-4B8F-A64A-63FDEF1FF171}"/>
            </a:ext>
          </a:extLst>
        </xdr:cNvPr>
        <xdr:cNvGrpSpPr/>
      </xdr:nvGrpSpPr>
      <xdr:grpSpPr>
        <a:xfrm>
          <a:off x="137160" y="45720"/>
          <a:ext cx="335280" cy="335280"/>
          <a:chOff x="121920" y="45720"/>
          <a:chExt cx="335280" cy="335280"/>
        </a:xfrm>
      </xdr:grpSpPr>
      <xdr:sp macro="" textlink="">
        <xdr:nvSpPr>
          <xdr:cNvPr id="33" name="Elipse 32">
            <a:extLst>
              <a:ext uri="{FF2B5EF4-FFF2-40B4-BE49-F238E27FC236}">
                <a16:creationId xmlns:a16="http://schemas.microsoft.com/office/drawing/2014/main" id="{45A8CB93-1592-4247-9586-56AA93330E81}"/>
              </a:ext>
            </a:extLst>
          </xdr:cNvPr>
          <xdr:cNvSpPr/>
        </xdr:nvSpPr>
        <xdr:spPr>
          <a:xfrm>
            <a:off x="121920" y="45720"/>
            <a:ext cx="335280" cy="335280"/>
          </a:xfrm>
          <a:prstGeom prst="ellipse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4" name="Gráfico 33">
            <a:extLst>
              <a:ext uri="{FF2B5EF4-FFF2-40B4-BE49-F238E27FC236}">
                <a16:creationId xmlns:a16="http://schemas.microsoft.com/office/drawing/2014/main" id="{8C188677-F761-42CE-B4C4-B4117379E1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167640" y="76200"/>
            <a:ext cx="252000" cy="252000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312420</xdr:colOff>
      <xdr:row>6</xdr:row>
      <xdr:rowOff>60961</xdr:rowOff>
    </xdr:from>
    <xdr:to>
      <xdr:col>9</xdr:col>
      <xdr:colOff>123695</xdr:colOff>
      <xdr:row>8</xdr:row>
      <xdr:rowOff>22860</xdr:rowOff>
    </xdr:to>
    <xdr:pic>
      <xdr:nvPicPr>
        <xdr:cNvPr id="14" name="Gráfico 13">
          <a:extLst>
            <a:ext uri="{FF2B5EF4-FFF2-40B4-BE49-F238E27FC236}">
              <a16:creationId xmlns:a16="http://schemas.microsoft.com/office/drawing/2014/main" id="{79DE1F47-0D19-4B73-916F-756CA06C9D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 b="20338"/>
        <a:stretch/>
      </xdr:blipFill>
      <xdr:spPr>
        <a:xfrm>
          <a:off x="4648200" y="1478281"/>
          <a:ext cx="420875" cy="419099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9</xdr:row>
      <xdr:rowOff>0</xdr:rowOff>
    </xdr:from>
    <xdr:to>
      <xdr:col>7</xdr:col>
      <xdr:colOff>281940</xdr:colOff>
      <xdr:row>10</xdr:row>
      <xdr:rowOff>53340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32338357-4E32-47B1-82DB-D9693C351917}"/>
            </a:ext>
          </a:extLst>
        </xdr:cNvPr>
        <xdr:cNvGrpSpPr/>
      </xdr:nvGrpSpPr>
      <xdr:grpSpPr>
        <a:xfrm>
          <a:off x="3726180" y="2103120"/>
          <a:ext cx="281940" cy="281940"/>
          <a:chOff x="6339840" y="6210300"/>
          <a:chExt cx="281940" cy="281940"/>
        </a:xfrm>
        <a:effectLst>
          <a:glow rad="139700">
            <a:schemeClr val="accent1">
              <a:satMod val="175000"/>
              <a:alpha val="40000"/>
            </a:schemeClr>
          </a:glow>
        </a:effectLst>
      </xdr:grpSpPr>
      <xdr:sp macro="" textlink="">
        <xdr:nvSpPr>
          <xdr:cNvPr id="30" name="Elipse 29">
            <a:extLst>
              <a:ext uri="{FF2B5EF4-FFF2-40B4-BE49-F238E27FC236}">
                <a16:creationId xmlns:a16="http://schemas.microsoft.com/office/drawing/2014/main" id="{614486CD-95F4-4305-964B-313391DCE6FB}"/>
              </a:ext>
            </a:extLst>
          </xdr:cNvPr>
          <xdr:cNvSpPr/>
        </xdr:nvSpPr>
        <xdr:spPr>
          <a:xfrm>
            <a:off x="6339840" y="6210300"/>
            <a:ext cx="281940" cy="281940"/>
          </a:xfrm>
          <a:prstGeom prst="ellipse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1" name="Gráfico 30" descr="Selo novo">
            <a:extLst>
              <a:ext uri="{FF2B5EF4-FFF2-40B4-BE49-F238E27FC236}">
                <a16:creationId xmlns:a16="http://schemas.microsoft.com/office/drawing/2014/main" id="{6F397E4E-EBBE-4851-9F46-B22A25BB94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6355080" y="6225540"/>
            <a:ext cx="252000" cy="2520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274320</xdr:colOff>
      <xdr:row>6</xdr:row>
      <xdr:rowOff>76200</xdr:rowOff>
    </xdr:from>
    <xdr:to>
      <xdr:col>5</xdr:col>
      <xdr:colOff>7620</xdr:colOff>
      <xdr:row>7</xdr:row>
      <xdr:rowOff>190500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AB4A9CD7-6FD9-495C-8FF0-FBD580EC8BBD}"/>
            </a:ext>
          </a:extLst>
        </xdr:cNvPr>
        <xdr:cNvGrpSpPr/>
      </xdr:nvGrpSpPr>
      <xdr:grpSpPr>
        <a:xfrm>
          <a:off x="2171700" y="1493520"/>
          <a:ext cx="342900" cy="342900"/>
          <a:chOff x="4610100" y="2567940"/>
          <a:chExt cx="617220" cy="617220"/>
        </a:xfrm>
      </xdr:grpSpPr>
      <xdr:pic>
        <xdr:nvPicPr>
          <xdr:cNvPr id="18" name="Gráfico 17" descr="Marca de seleção">
            <a:extLst>
              <a:ext uri="{FF2B5EF4-FFF2-40B4-BE49-F238E27FC236}">
                <a16:creationId xmlns:a16="http://schemas.microsoft.com/office/drawing/2014/main" id="{ECDD82FD-B73B-49B1-B5B8-AE49026426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tretch>
            <a:fillRect/>
          </a:stretch>
        </xdr:blipFill>
        <xdr:spPr>
          <a:xfrm>
            <a:off x="4693920" y="2659380"/>
            <a:ext cx="468000" cy="468000"/>
          </a:xfrm>
          <a:prstGeom prst="rect">
            <a:avLst/>
          </a:prstGeom>
        </xdr:spPr>
      </xdr:pic>
      <xdr:sp macro="" textlink="">
        <xdr:nvSpPr>
          <xdr:cNvPr id="35" name="Elipse 34">
            <a:extLst>
              <a:ext uri="{FF2B5EF4-FFF2-40B4-BE49-F238E27FC236}">
                <a16:creationId xmlns:a16="http://schemas.microsoft.com/office/drawing/2014/main" id="{289FB064-C2FE-4EF6-9E1B-96C7B3E8B5D1}"/>
              </a:ext>
            </a:extLst>
          </xdr:cNvPr>
          <xdr:cNvSpPr/>
        </xdr:nvSpPr>
        <xdr:spPr>
          <a:xfrm>
            <a:off x="4610100" y="2567940"/>
            <a:ext cx="617220" cy="617220"/>
          </a:xfrm>
          <a:prstGeom prst="ellipse">
            <a:avLst/>
          </a:prstGeom>
          <a:noFill/>
          <a:ln w="381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6</xdr:col>
      <xdr:colOff>83820</xdr:colOff>
      <xdr:row>6</xdr:row>
      <xdr:rowOff>76200</xdr:rowOff>
    </xdr:from>
    <xdr:to>
      <xdr:col>6</xdr:col>
      <xdr:colOff>426720</xdr:colOff>
      <xdr:row>7</xdr:row>
      <xdr:rowOff>190500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216F97B8-32B7-495B-9BDA-471A1B86FF11}"/>
            </a:ext>
          </a:extLst>
        </xdr:cNvPr>
        <xdr:cNvGrpSpPr/>
      </xdr:nvGrpSpPr>
      <xdr:grpSpPr>
        <a:xfrm>
          <a:off x="3200400" y="1493520"/>
          <a:ext cx="342900" cy="342900"/>
          <a:chOff x="5638800" y="2567940"/>
          <a:chExt cx="617220" cy="617220"/>
        </a:xfrm>
      </xdr:grpSpPr>
      <xdr:pic>
        <xdr:nvPicPr>
          <xdr:cNvPr id="26" name="Gráfico 25" descr="Fechar">
            <a:extLst>
              <a:ext uri="{FF2B5EF4-FFF2-40B4-BE49-F238E27FC236}">
                <a16:creationId xmlns:a16="http://schemas.microsoft.com/office/drawing/2014/main" id="{BF8826E0-2AE4-4C9B-8970-7EBC6715D5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5"/>
              </a:ext>
            </a:extLst>
          </a:blip>
          <a:stretch>
            <a:fillRect/>
          </a:stretch>
        </xdr:blipFill>
        <xdr:spPr>
          <a:xfrm>
            <a:off x="5720220" y="2656980"/>
            <a:ext cx="468000" cy="468000"/>
          </a:xfrm>
          <a:prstGeom prst="rect">
            <a:avLst/>
          </a:prstGeom>
        </xdr:spPr>
      </xdr:pic>
      <xdr:sp macro="" textlink="">
        <xdr:nvSpPr>
          <xdr:cNvPr id="36" name="Elipse 35">
            <a:extLst>
              <a:ext uri="{FF2B5EF4-FFF2-40B4-BE49-F238E27FC236}">
                <a16:creationId xmlns:a16="http://schemas.microsoft.com/office/drawing/2014/main" id="{1D6A2201-85C0-48C1-BDAC-2063FF229C5D}"/>
              </a:ext>
            </a:extLst>
          </xdr:cNvPr>
          <xdr:cNvSpPr/>
        </xdr:nvSpPr>
        <xdr:spPr>
          <a:xfrm>
            <a:off x="5638800" y="2567940"/>
            <a:ext cx="617220" cy="617220"/>
          </a:xfrm>
          <a:prstGeom prst="ellipse">
            <a:avLst/>
          </a:prstGeom>
          <a:noFill/>
          <a:ln w="381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10</xdr:col>
      <xdr:colOff>38100</xdr:colOff>
      <xdr:row>6</xdr:row>
      <xdr:rowOff>7620</xdr:rowOff>
    </xdr:from>
    <xdr:to>
      <xdr:col>11</xdr:col>
      <xdr:colOff>41148</xdr:colOff>
      <xdr:row>10</xdr:row>
      <xdr:rowOff>121920</xdr:rowOff>
    </xdr:to>
    <xdr:pic>
      <xdr:nvPicPr>
        <xdr:cNvPr id="42" name="Gráfico 41">
          <a:extLst>
            <a:ext uri="{FF2B5EF4-FFF2-40B4-BE49-F238E27FC236}">
              <a16:creationId xmlns:a16="http://schemas.microsoft.com/office/drawing/2014/main" id="{1BDF6BCA-0729-4F80-8192-4D0BA59319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rcRect l="23361" t="3597" r="21721" b="22829"/>
        <a:stretch/>
      </xdr:blipFill>
      <xdr:spPr>
        <a:xfrm>
          <a:off x="5593080" y="1424940"/>
          <a:ext cx="612648" cy="1028700"/>
        </a:xfrm>
        <a:prstGeom prst="rect">
          <a:avLst/>
        </a:prstGeom>
      </xdr:spPr>
    </xdr:pic>
    <xdr:clientData/>
  </xdr:twoCellAnchor>
  <xdr:twoCellAnchor editAs="oneCell">
    <xdr:from>
      <xdr:col>11</xdr:col>
      <xdr:colOff>91440</xdr:colOff>
      <xdr:row>6</xdr:row>
      <xdr:rowOff>7620</xdr:rowOff>
    </xdr:from>
    <xdr:to>
      <xdr:col>12</xdr:col>
      <xdr:colOff>94488</xdr:colOff>
      <xdr:row>10</xdr:row>
      <xdr:rowOff>121920</xdr:rowOff>
    </xdr:to>
    <xdr:pic>
      <xdr:nvPicPr>
        <xdr:cNvPr id="43" name="Gráfico 42">
          <a:extLst>
            <a:ext uri="{FF2B5EF4-FFF2-40B4-BE49-F238E27FC236}">
              <a16:creationId xmlns:a16="http://schemas.microsoft.com/office/drawing/2014/main" id="{F38FE548-BFF8-4C0C-A142-FE9FA6B3AB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rcRect l="23361" t="3597" r="21721" b="22829"/>
        <a:stretch/>
      </xdr:blipFill>
      <xdr:spPr>
        <a:xfrm>
          <a:off x="6256020" y="1424940"/>
          <a:ext cx="612648" cy="10287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518159</xdr:colOff>
      <xdr:row>0</xdr:row>
      <xdr:rowOff>30480</xdr:rowOff>
    </xdr:from>
    <xdr:to>
      <xdr:col>4</xdr:col>
      <xdr:colOff>556260</xdr:colOff>
      <xdr:row>0</xdr:row>
      <xdr:rowOff>399143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56BF2F6E-9D35-46C8-8FA1-85A6C546E7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159" y="30480"/>
          <a:ext cx="1935481" cy="36866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22860</xdr:colOff>
      <xdr:row>8</xdr:row>
      <xdr:rowOff>83820</xdr:rowOff>
    </xdr:from>
    <xdr:to>
      <xdr:col>167</xdr:col>
      <xdr:colOff>0</xdr:colOff>
      <xdr:row>84</xdr:row>
      <xdr:rowOff>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FA16807-5EF5-4A3F-8231-03A922EBCF00}"/>
            </a:ext>
          </a:extLst>
        </xdr:cNvPr>
        <xdr:cNvSpPr/>
      </xdr:nvSpPr>
      <xdr:spPr>
        <a:xfrm>
          <a:off x="1196340" y="815340"/>
          <a:ext cx="12801600" cy="6865620"/>
        </a:xfrm>
        <a:prstGeom prst="roundRect">
          <a:avLst>
            <a:gd name="adj" fmla="val 2411"/>
          </a:avLst>
        </a:prstGeom>
        <a:solidFill>
          <a:schemeClr val="bg1">
            <a:alpha val="69804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12</xdr:col>
      <xdr:colOff>38100</xdr:colOff>
      <xdr:row>69</xdr:row>
      <xdr:rowOff>0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61DF28C9-023A-448C-A9BC-3657E7BCAA6D}"/>
            </a:ext>
          </a:extLst>
        </xdr:cNvPr>
        <xdr:cNvSpPr/>
      </xdr:nvSpPr>
      <xdr:spPr>
        <a:xfrm>
          <a:off x="251460" y="822960"/>
          <a:ext cx="792480" cy="5486400"/>
        </a:xfrm>
        <a:prstGeom prst="roundRect">
          <a:avLst>
            <a:gd name="adj" fmla="val 14238"/>
          </a:avLst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60960</xdr:colOff>
      <xdr:row>10</xdr:row>
      <xdr:rowOff>30480</xdr:rowOff>
    </xdr:from>
    <xdr:to>
      <xdr:col>9</xdr:col>
      <xdr:colOff>60960</xdr:colOff>
      <xdr:row>14</xdr:row>
      <xdr:rowOff>0</xdr:rowOff>
    </xdr:to>
    <xdr:grpSp>
      <xdr:nvGrpSpPr>
        <xdr:cNvPr id="6" name="Agrupar 5">
          <a:hlinkClick xmlns:r="http://schemas.openxmlformats.org/officeDocument/2006/relationships" r:id="rId1" tooltip="Menu Inicial"/>
          <a:extLst>
            <a:ext uri="{FF2B5EF4-FFF2-40B4-BE49-F238E27FC236}">
              <a16:creationId xmlns:a16="http://schemas.microsoft.com/office/drawing/2014/main" id="{7CFAE100-FA73-4472-9BCB-E20FCECD36A4}"/>
            </a:ext>
          </a:extLst>
        </xdr:cNvPr>
        <xdr:cNvGrpSpPr/>
      </xdr:nvGrpSpPr>
      <xdr:grpSpPr>
        <a:xfrm>
          <a:off x="480060" y="944880"/>
          <a:ext cx="335280" cy="335280"/>
          <a:chOff x="121920" y="45720"/>
          <a:chExt cx="335280" cy="335280"/>
        </a:xfrm>
      </xdr:grpSpPr>
      <xdr:sp macro="" textlink="">
        <xdr:nvSpPr>
          <xdr:cNvPr id="7" name="Elipse 6">
            <a:extLst>
              <a:ext uri="{FF2B5EF4-FFF2-40B4-BE49-F238E27FC236}">
                <a16:creationId xmlns:a16="http://schemas.microsoft.com/office/drawing/2014/main" id="{D1A28C6D-356C-4D13-8D3B-DBB26075D942}"/>
              </a:ext>
            </a:extLst>
          </xdr:cNvPr>
          <xdr:cNvSpPr/>
        </xdr:nvSpPr>
        <xdr:spPr>
          <a:xfrm>
            <a:off x="121920" y="45720"/>
            <a:ext cx="335280" cy="335280"/>
          </a:xfrm>
          <a:prstGeom prst="ellipse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Gráfico 7">
            <a:extLst>
              <a:ext uri="{FF2B5EF4-FFF2-40B4-BE49-F238E27FC236}">
                <a16:creationId xmlns:a16="http://schemas.microsoft.com/office/drawing/2014/main" id="{5CFACEDA-5D42-4A4C-B62B-4C0399B8C7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7640" y="76200"/>
            <a:ext cx="252000" cy="252000"/>
          </a:xfrm>
          <a:prstGeom prst="rect">
            <a:avLst/>
          </a:prstGeom>
        </xdr:spPr>
      </xdr:pic>
    </xdr:grpSp>
    <xdr:clientData/>
  </xdr:twoCellAnchor>
  <xdr:oneCellAnchor>
    <xdr:from>
      <xdr:col>27</xdr:col>
      <xdr:colOff>37356</xdr:colOff>
      <xdr:row>2</xdr:row>
      <xdr:rowOff>53340</xdr:rowOff>
    </xdr:from>
    <xdr:ext cx="3832588" cy="465640"/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79DE219E-E268-4DFE-A8CB-3179C719A051}"/>
            </a:ext>
          </a:extLst>
        </xdr:cNvPr>
        <xdr:cNvSpPr/>
      </xdr:nvSpPr>
      <xdr:spPr>
        <a:xfrm>
          <a:off x="2300496" y="236220"/>
          <a:ext cx="3832588" cy="46564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400" b="1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</a:rPr>
            <a:t>GESTÃO DE CONSULTAS</a:t>
          </a:r>
        </a:p>
      </xdr:txBody>
    </xdr:sp>
    <xdr:clientData/>
  </xdr:oneCellAnchor>
  <xdr:twoCellAnchor>
    <xdr:from>
      <xdr:col>81</xdr:col>
      <xdr:colOff>22860</xdr:colOff>
      <xdr:row>2</xdr:row>
      <xdr:rowOff>83820</xdr:rowOff>
    </xdr:from>
    <xdr:to>
      <xdr:col>164</xdr:col>
      <xdr:colOff>0</xdr:colOff>
      <xdr:row>11</xdr:row>
      <xdr:rowOff>76200</xdr:rowOff>
    </xdr:to>
    <xdr:sp macro="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E406A01-8549-44AA-B09D-E28A8C70EE90}"/>
            </a:ext>
          </a:extLst>
        </xdr:cNvPr>
        <xdr:cNvSpPr/>
      </xdr:nvSpPr>
      <xdr:spPr>
        <a:xfrm>
          <a:off x="6812280" y="266700"/>
          <a:ext cx="6934200" cy="815340"/>
        </a:xfrm>
        <a:prstGeom prst="roundRect">
          <a:avLst>
            <a:gd name="adj" fmla="val 17441"/>
          </a:avLst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5">
                <a:lumMod val="25000"/>
              </a:schemeClr>
            </a:solidFill>
          </a:endParaRPr>
        </a:p>
      </xdr:txBody>
    </xdr:sp>
    <xdr:clientData/>
  </xdr:twoCellAnchor>
  <xdr:twoCellAnchor>
    <xdr:from>
      <xdr:col>15</xdr:col>
      <xdr:colOff>30480</xdr:colOff>
      <xdr:row>8</xdr:row>
      <xdr:rowOff>45720</xdr:rowOff>
    </xdr:from>
    <xdr:to>
      <xdr:col>55</xdr:col>
      <xdr:colOff>30480</xdr:colOff>
      <xdr:row>22</xdr:row>
      <xdr:rowOff>76200</xdr:rowOff>
    </xdr:to>
    <xdr:sp macro="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C737B11F-324D-4D10-8436-BD8F7E81B68E}"/>
            </a:ext>
          </a:extLst>
        </xdr:cNvPr>
        <xdr:cNvSpPr/>
      </xdr:nvSpPr>
      <xdr:spPr>
        <a:xfrm>
          <a:off x="1287780" y="777240"/>
          <a:ext cx="3352800" cy="1310640"/>
        </a:xfrm>
        <a:prstGeom prst="roundRect">
          <a:avLst>
            <a:gd name="adj" fmla="val 6536"/>
          </a:avLst>
        </a:prstGeom>
        <a:solidFill>
          <a:schemeClr val="bg2">
            <a:alpha val="50196"/>
          </a:schemeClr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18</xdr:col>
      <xdr:colOff>2098</xdr:colOff>
      <xdr:row>9</xdr:row>
      <xdr:rowOff>0</xdr:rowOff>
    </xdr:from>
    <xdr:ext cx="2608022" cy="341184"/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94EE916E-556B-42D1-8B7E-0F1469074669}"/>
            </a:ext>
          </a:extLst>
        </xdr:cNvPr>
        <xdr:cNvSpPr/>
      </xdr:nvSpPr>
      <xdr:spPr>
        <a:xfrm>
          <a:off x="1510858" y="822960"/>
          <a:ext cx="2608022" cy="34118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accent5">
                  <a:lumMod val="25000"/>
                </a:schemeClr>
              </a:solidFill>
              <a:effectLst/>
              <a:latin typeface="Avenir Next LT Pro Light" panose="020B0304020202020204" pitchFamily="34" charset="0"/>
            </a:rPr>
            <a:t>CONSULTAS</a:t>
          </a:r>
          <a:r>
            <a:rPr lang="pt-BR" sz="1600" b="1" cap="none" spc="0" baseline="0">
              <a:ln w="0"/>
              <a:solidFill>
                <a:schemeClr val="accent5">
                  <a:lumMod val="25000"/>
                </a:schemeClr>
              </a:solidFill>
              <a:effectLst/>
              <a:latin typeface="Avenir Next LT Pro Light" panose="020B0304020202020204" pitchFamily="34" charset="0"/>
            </a:rPr>
            <a:t> MARCADAS</a:t>
          </a:r>
          <a:endParaRPr lang="pt-BR" sz="1600" b="1" cap="none" spc="0">
            <a:ln w="0"/>
            <a:solidFill>
              <a:schemeClr val="accent5">
                <a:lumMod val="25000"/>
              </a:schemeClr>
            </a:solidFill>
            <a:effectLst/>
            <a:latin typeface="Avenir Next LT Pro Light" panose="020B0304020202020204" pitchFamily="34" charset="0"/>
          </a:endParaRPr>
        </a:p>
      </xdr:txBody>
    </xdr:sp>
    <xdr:clientData/>
  </xdr:oneCellAnchor>
  <xdr:oneCellAnchor>
    <xdr:from>
      <xdr:col>33</xdr:col>
      <xdr:colOff>41802</xdr:colOff>
      <xdr:row>11</xdr:row>
      <xdr:rowOff>53340</xdr:rowOff>
    </xdr:from>
    <xdr:ext cx="1156727" cy="1118896"/>
    <xdr:sp macro="" textlink="Dinâmicas!E9">
      <xdr:nvSpPr>
        <xdr:cNvPr id="25" name="Retângulo 24">
          <a:extLst>
            <a:ext uri="{FF2B5EF4-FFF2-40B4-BE49-F238E27FC236}">
              <a16:creationId xmlns:a16="http://schemas.microsoft.com/office/drawing/2014/main" id="{C1CA8D22-C512-4EF7-B4DC-8A23EF4C2001}"/>
            </a:ext>
          </a:extLst>
        </xdr:cNvPr>
        <xdr:cNvSpPr/>
      </xdr:nvSpPr>
      <xdr:spPr>
        <a:xfrm>
          <a:off x="2807862" y="1059180"/>
          <a:ext cx="1156727" cy="1118896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wrap="none" lIns="91440" tIns="45720" rIns="91440" bIns="45720">
          <a:spAutoFit/>
        </a:bodyPr>
        <a:lstStyle/>
        <a:p>
          <a:pPr algn="ctr"/>
          <a:fld id="{8CCB7337-6A0E-43A3-9084-401E0C67749B}" type="TxLink">
            <a:rPr lang="en-US" sz="6600" b="0" i="0" u="none" strike="noStrike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  <a:cs typeface="Calibri"/>
            </a:rPr>
            <a:pPr algn="ctr"/>
            <a:t>2</a:t>
          </a:fld>
          <a:endParaRPr lang="pt-BR" sz="49600" b="0" cap="none" spc="0">
            <a:ln w="0"/>
            <a:solidFill>
              <a:schemeClr val="accent1"/>
            </a:solidFill>
            <a:effectLst/>
            <a:latin typeface="Avenir Next LT Pro Light" panose="020B0304020202020204" pitchFamily="34" charset="0"/>
          </a:endParaRPr>
        </a:p>
      </xdr:txBody>
    </xdr:sp>
    <xdr:clientData/>
  </xdr:oneCellAnchor>
  <xdr:twoCellAnchor editAs="oneCell">
    <xdr:from>
      <xdr:col>22</xdr:col>
      <xdr:colOff>7619</xdr:colOff>
      <xdr:row>13</xdr:row>
      <xdr:rowOff>30480</xdr:rowOff>
    </xdr:from>
    <xdr:to>
      <xdr:col>28</xdr:col>
      <xdr:colOff>18420</xdr:colOff>
      <xdr:row>18</xdr:row>
      <xdr:rowOff>0</xdr:rowOff>
    </xdr:to>
    <xdr:pic>
      <xdr:nvPicPr>
        <xdr:cNvPr id="26" name="Gráfico 25">
          <a:extLst>
            <a:ext uri="{FF2B5EF4-FFF2-40B4-BE49-F238E27FC236}">
              <a16:creationId xmlns:a16="http://schemas.microsoft.com/office/drawing/2014/main" id="{B5C35FF9-FB7D-4F18-B701-BDB9062793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 t="6452" b="27097"/>
        <a:stretch/>
      </xdr:blipFill>
      <xdr:spPr>
        <a:xfrm>
          <a:off x="1851659" y="1219200"/>
          <a:ext cx="513721" cy="42672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24</xdr:row>
      <xdr:rowOff>60960</xdr:rowOff>
    </xdr:from>
    <xdr:to>
      <xdr:col>54</xdr:col>
      <xdr:colOff>0</xdr:colOff>
      <xdr:row>48</xdr:row>
      <xdr:rowOff>0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1F241A77-2086-49F4-AAEC-8767D1B75F74}"/>
            </a:ext>
          </a:extLst>
        </xdr:cNvPr>
        <xdr:cNvSpPr/>
      </xdr:nvSpPr>
      <xdr:spPr>
        <a:xfrm>
          <a:off x="1173480" y="2255520"/>
          <a:ext cx="3352800" cy="2133600"/>
        </a:xfrm>
        <a:prstGeom prst="roundRect">
          <a:avLst>
            <a:gd name="adj" fmla="val 6536"/>
          </a:avLst>
        </a:prstGeom>
        <a:solidFill>
          <a:schemeClr val="bg2">
            <a:alpha val="50196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55</xdr:col>
      <xdr:colOff>38100</xdr:colOff>
      <xdr:row>8</xdr:row>
      <xdr:rowOff>22860</xdr:rowOff>
    </xdr:from>
    <xdr:to>
      <xdr:col>80</xdr:col>
      <xdr:colOff>0</xdr:colOff>
      <xdr:row>48</xdr:row>
      <xdr:rowOff>0</xdr:rowOff>
    </xdr:to>
    <xdr:sp macro="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5562BBD1-6772-4875-99F0-EE0F205A713C}"/>
            </a:ext>
          </a:extLst>
        </xdr:cNvPr>
        <xdr:cNvSpPr/>
      </xdr:nvSpPr>
      <xdr:spPr>
        <a:xfrm>
          <a:off x="4648200" y="754380"/>
          <a:ext cx="2057400" cy="3634740"/>
        </a:xfrm>
        <a:prstGeom prst="roundRect">
          <a:avLst>
            <a:gd name="adj" fmla="val 6536"/>
          </a:avLst>
        </a:prstGeom>
        <a:solidFill>
          <a:schemeClr val="bg2">
            <a:alpha val="50196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20</xdr:col>
      <xdr:colOff>6303</xdr:colOff>
      <xdr:row>24</xdr:row>
      <xdr:rowOff>60960</xdr:rowOff>
    </xdr:from>
    <xdr:ext cx="2264339" cy="341184"/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4316ECD6-A9B2-48FA-939D-7688F4DF48D8}"/>
            </a:ext>
          </a:extLst>
        </xdr:cNvPr>
        <xdr:cNvSpPr/>
      </xdr:nvSpPr>
      <xdr:spPr>
        <a:xfrm>
          <a:off x="1682703" y="2255520"/>
          <a:ext cx="2264339" cy="34118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</a:rPr>
            <a:t>COMPARECIMENTOS</a:t>
          </a:r>
        </a:p>
      </xdr:txBody>
    </xdr:sp>
    <xdr:clientData/>
  </xdr:oneCellAnchor>
  <xdr:oneCellAnchor>
    <xdr:from>
      <xdr:col>61</xdr:col>
      <xdr:colOff>30967</xdr:colOff>
      <xdr:row>9</xdr:row>
      <xdr:rowOff>0</xdr:rowOff>
    </xdr:from>
    <xdr:ext cx="1106777" cy="341184"/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742DD50F-D281-4219-BF18-9DD1E7494B26}"/>
            </a:ext>
          </a:extLst>
        </xdr:cNvPr>
        <xdr:cNvSpPr/>
      </xdr:nvSpPr>
      <xdr:spPr>
        <a:xfrm>
          <a:off x="5143987" y="822960"/>
          <a:ext cx="1106777" cy="34118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600" b="0" cap="none" spc="0">
              <a:ln w="0"/>
              <a:solidFill>
                <a:schemeClr val="accent5">
                  <a:lumMod val="25000"/>
                </a:schemeClr>
              </a:solidFill>
              <a:effectLst/>
              <a:latin typeface="Avenir Next LT Pro Light" panose="020B0304020202020204" pitchFamily="34" charset="0"/>
            </a:rPr>
            <a:t>PERÍODO</a:t>
          </a:r>
        </a:p>
      </xdr:txBody>
    </xdr:sp>
    <xdr:clientData/>
  </xdr:oneCellAnchor>
  <xdr:twoCellAnchor>
    <xdr:from>
      <xdr:col>82</xdr:col>
      <xdr:colOff>22860</xdr:colOff>
      <xdr:row>13</xdr:row>
      <xdr:rowOff>22860</xdr:rowOff>
    </xdr:from>
    <xdr:to>
      <xdr:col>164</xdr:col>
      <xdr:colOff>7620</xdr:colOff>
      <xdr:row>48</xdr:row>
      <xdr:rowOff>0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F5EB2D66-1F9F-4294-96B1-D21D8CCDC86A}"/>
            </a:ext>
          </a:extLst>
        </xdr:cNvPr>
        <xdr:cNvSpPr/>
      </xdr:nvSpPr>
      <xdr:spPr>
        <a:xfrm>
          <a:off x="6896100" y="1211580"/>
          <a:ext cx="6858000" cy="3177540"/>
        </a:xfrm>
        <a:prstGeom prst="roundRect">
          <a:avLst>
            <a:gd name="adj" fmla="val 6536"/>
          </a:avLst>
        </a:prstGeom>
        <a:solidFill>
          <a:schemeClr val="bg2">
            <a:alpha val="50196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111</xdr:col>
      <xdr:colOff>24231</xdr:colOff>
      <xdr:row>13</xdr:row>
      <xdr:rowOff>55675</xdr:rowOff>
    </xdr:from>
    <xdr:ext cx="1848326" cy="341184"/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A327D73B-BAC1-4817-9CE4-1604FC112554}"/>
            </a:ext>
          </a:extLst>
        </xdr:cNvPr>
        <xdr:cNvSpPr/>
      </xdr:nvSpPr>
      <xdr:spPr>
        <a:xfrm>
          <a:off x="9328251" y="1244395"/>
          <a:ext cx="1848326" cy="34118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</a:rPr>
            <a:t>ATENDIMENTOS</a:t>
          </a:r>
          <a:r>
            <a:rPr lang="pt-BR" sz="1600" b="0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</a:rPr>
            <a:t> </a:t>
          </a:r>
        </a:p>
      </xdr:txBody>
    </xdr:sp>
    <xdr:clientData/>
  </xdr:oneCellAnchor>
  <xdr:twoCellAnchor>
    <xdr:from>
      <xdr:col>14</xdr:col>
      <xdr:colOff>15240</xdr:colOff>
      <xdr:row>49</xdr:row>
      <xdr:rowOff>53340</xdr:rowOff>
    </xdr:from>
    <xdr:to>
      <xdr:col>73</xdr:col>
      <xdr:colOff>15240</xdr:colOff>
      <xdr:row>80</xdr:row>
      <xdr:rowOff>45720</xdr:rowOff>
    </xdr:to>
    <xdr:sp macro="" textlink="">
      <xdr:nvSpPr>
        <xdr:cNvPr id="40" name="Retângulo: Cantos Arredondados 39">
          <a:extLst>
            <a:ext uri="{FF2B5EF4-FFF2-40B4-BE49-F238E27FC236}">
              <a16:creationId xmlns:a16="http://schemas.microsoft.com/office/drawing/2014/main" id="{251377A4-7922-40CC-9CBF-0ABDBD90653F}"/>
            </a:ext>
          </a:extLst>
        </xdr:cNvPr>
        <xdr:cNvSpPr/>
      </xdr:nvSpPr>
      <xdr:spPr>
        <a:xfrm>
          <a:off x="1188720" y="4533900"/>
          <a:ext cx="4945380" cy="2827020"/>
        </a:xfrm>
        <a:prstGeom prst="roundRect">
          <a:avLst>
            <a:gd name="adj" fmla="val 6536"/>
          </a:avLst>
        </a:prstGeom>
        <a:solidFill>
          <a:schemeClr val="bg2">
            <a:alpha val="50196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25</xdr:col>
      <xdr:colOff>7892</xdr:colOff>
      <xdr:row>49</xdr:row>
      <xdr:rowOff>53340</xdr:rowOff>
    </xdr:from>
    <xdr:ext cx="3145092" cy="341184"/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F3CB3993-5B6F-44FA-B134-4CC935A7316D}"/>
            </a:ext>
          </a:extLst>
        </xdr:cNvPr>
        <xdr:cNvSpPr/>
      </xdr:nvSpPr>
      <xdr:spPr>
        <a:xfrm>
          <a:off x="2103392" y="4533900"/>
          <a:ext cx="3145092" cy="34118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</a:rPr>
            <a:t>ATENDIMENTOS POR MOTIVO</a:t>
          </a:r>
        </a:p>
      </xdr:txBody>
    </xdr:sp>
    <xdr:clientData/>
  </xdr:oneCellAnchor>
  <xdr:twoCellAnchor>
    <xdr:from>
      <xdr:col>34</xdr:col>
      <xdr:colOff>60960</xdr:colOff>
      <xdr:row>53</xdr:row>
      <xdr:rowOff>45720</xdr:rowOff>
    </xdr:from>
    <xdr:to>
      <xdr:col>53</xdr:col>
      <xdr:colOff>22860</xdr:colOff>
      <xdr:row>79</xdr:row>
      <xdr:rowOff>45720</xdr:rowOff>
    </xdr:to>
    <xdr:sp macro="" textlink="">
      <xdr:nvSpPr>
        <xdr:cNvPr id="116" name="Retângulo: Cantos Arredondados 115">
          <a:extLst>
            <a:ext uri="{FF2B5EF4-FFF2-40B4-BE49-F238E27FC236}">
              <a16:creationId xmlns:a16="http://schemas.microsoft.com/office/drawing/2014/main" id="{584F36D8-27A3-473A-8496-0E0F5ECE249C}"/>
            </a:ext>
          </a:extLst>
        </xdr:cNvPr>
        <xdr:cNvSpPr/>
      </xdr:nvSpPr>
      <xdr:spPr>
        <a:xfrm>
          <a:off x="2910840" y="4892040"/>
          <a:ext cx="1554480" cy="2377440"/>
        </a:xfrm>
        <a:prstGeom prst="roundRect">
          <a:avLst>
            <a:gd name="adj" fmla="val 8987"/>
          </a:avLst>
        </a:prstGeom>
        <a:solidFill>
          <a:srgbClr val="FFFF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54</xdr:col>
      <xdr:colOff>0</xdr:colOff>
      <xdr:row>53</xdr:row>
      <xdr:rowOff>45720</xdr:rowOff>
    </xdr:from>
    <xdr:to>
      <xdr:col>72</xdr:col>
      <xdr:colOff>45720</xdr:colOff>
      <xdr:row>79</xdr:row>
      <xdr:rowOff>45720</xdr:rowOff>
    </xdr:to>
    <xdr:sp macro="" textlink="">
      <xdr:nvSpPr>
        <xdr:cNvPr id="117" name="Retângulo: Cantos Arredondados 116">
          <a:extLst>
            <a:ext uri="{FF2B5EF4-FFF2-40B4-BE49-F238E27FC236}">
              <a16:creationId xmlns:a16="http://schemas.microsoft.com/office/drawing/2014/main" id="{3B22A620-1501-4A4E-8FAE-6CEFF756C43C}"/>
            </a:ext>
          </a:extLst>
        </xdr:cNvPr>
        <xdr:cNvSpPr/>
      </xdr:nvSpPr>
      <xdr:spPr>
        <a:xfrm>
          <a:off x="4526280" y="4892040"/>
          <a:ext cx="1554480" cy="2377440"/>
        </a:xfrm>
        <a:prstGeom prst="roundRect">
          <a:avLst>
            <a:gd name="adj" fmla="val 8987"/>
          </a:avLst>
        </a:prstGeom>
        <a:solidFill>
          <a:srgbClr val="FFFF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75</xdr:col>
      <xdr:colOff>0</xdr:colOff>
      <xdr:row>49</xdr:row>
      <xdr:rowOff>53340</xdr:rowOff>
    </xdr:from>
    <xdr:to>
      <xdr:col>163</xdr:col>
      <xdr:colOff>76200</xdr:colOff>
      <xdr:row>80</xdr:row>
      <xdr:rowOff>45720</xdr:rowOff>
    </xdr:to>
    <xdr:sp macro="" textlink="">
      <xdr:nvSpPr>
        <xdr:cNvPr id="42" name="Retângulo: Cantos Arredondados 41">
          <a:extLst>
            <a:ext uri="{FF2B5EF4-FFF2-40B4-BE49-F238E27FC236}">
              <a16:creationId xmlns:a16="http://schemas.microsoft.com/office/drawing/2014/main" id="{15B8CB11-B4EE-42F1-BC9A-B8E94C7142BE}"/>
            </a:ext>
          </a:extLst>
        </xdr:cNvPr>
        <xdr:cNvSpPr/>
      </xdr:nvSpPr>
      <xdr:spPr>
        <a:xfrm>
          <a:off x="6286500" y="4533900"/>
          <a:ext cx="7452360" cy="2827020"/>
        </a:xfrm>
        <a:prstGeom prst="roundRect">
          <a:avLst>
            <a:gd name="adj" fmla="val 6536"/>
          </a:avLst>
        </a:prstGeom>
        <a:solidFill>
          <a:schemeClr val="bg2">
            <a:alpha val="50196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22860</xdr:colOff>
      <xdr:row>53</xdr:row>
      <xdr:rowOff>45720</xdr:rowOff>
    </xdr:from>
    <xdr:to>
      <xdr:col>33</xdr:col>
      <xdr:colOff>68580</xdr:colOff>
      <xdr:row>79</xdr:row>
      <xdr:rowOff>45720</xdr:rowOff>
    </xdr:to>
    <xdr:sp macro="" textlink="">
      <xdr:nvSpPr>
        <xdr:cNvPr id="115" name="Retângulo: Cantos Arredondados 114">
          <a:extLst>
            <a:ext uri="{FF2B5EF4-FFF2-40B4-BE49-F238E27FC236}">
              <a16:creationId xmlns:a16="http://schemas.microsoft.com/office/drawing/2014/main" id="{B5D91F1C-46F2-450E-9039-A6C682E7D98B}"/>
            </a:ext>
          </a:extLst>
        </xdr:cNvPr>
        <xdr:cNvSpPr/>
      </xdr:nvSpPr>
      <xdr:spPr>
        <a:xfrm>
          <a:off x="1280160" y="4892040"/>
          <a:ext cx="1554480" cy="2377440"/>
        </a:xfrm>
        <a:prstGeom prst="roundRect">
          <a:avLst>
            <a:gd name="adj" fmla="val 8987"/>
          </a:avLst>
        </a:prstGeom>
        <a:solidFill>
          <a:srgbClr val="FFFF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97</xdr:col>
      <xdr:colOff>30538</xdr:colOff>
      <xdr:row>49</xdr:row>
      <xdr:rowOff>53340</xdr:rowOff>
    </xdr:from>
    <xdr:ext cx="3800849" cy="341184"/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82EBC347-726D-4132-9C78-3958B91525E4}"/>
            </a:ext>
          </a:extLst>
        </xdr:cNvPr>
        <xdr:cNvSpPr/>
      </xdr:nvSpPr>
      <xdr:spPr>
        <a:xfrm>
          <a:off x="8161078" y="4533900"/>
          <a:ext cx="3800849" cy="34118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accent5">
                  <a:lumMod val="25000"/>
                </a:schemeClr>
              </a:solidFill>
              <a:effectLst/>
              <a:latin typeface="Avenir Next LT Pro Light" panose="020B0304020202020204" pitchFamily="34" charset="0"/>
            </a:rPr>
            <a:t>EVOLUÇÃO MENSAL DE CONSULTAS</a:t>
          </a:r>
        </a:p>
      </xdr:txBody>
    </xdr:sp>
    <xdr:clientData/>
  </xdr:oneCellAnchor>
  <xdr:twoCellAnchor editAs="oneCell">
    <xdr:from>
      <xdr:col>16</xdr:col>
      <xdr:colOff>68581</xdr:colOff>
      <xdr:row>54</xdr:row>
      <xdr:rowOff>17639</xdr:rowOff>
    </xdr:from>
    <xdr:to>
      <xdr:col>21</xdr:col>
      <xdr:colOff>15240</xdr:colOff>
      <xdr:row>57</xdr:row>
      <xdr:rowOff>47135</xdr:rowOff>
    </xdr:to>
    <xdr:pic>
      <xdr:nvPicPr>
        <xdr:cNvPr id="46" name="Gráfico 45">
          <a:extLst>
            <a:ext uri="{FF2B5EF4-FFF2-40B4-BE49-F238E27FC236}">
              <a16:creationId xmlns:a16="http://schemas.microsoft.com/office/drawing/2014/main" id="{A90DDA21-E53F-4ED2-96A8-F30879AA73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 t="6452" b="27097"/>
        <a:stretch/>
      </xdr:blipFill>
      <xdr:spPr>
        <a:xfrm>
          <a:off x="1409701" y="4955399"/>
          <a:ext cx="365759" cy="303816"/>
        </a:xfrm>
        <a:prstGeom prst="rect">
          <a:avLst/>
        </a:prstGeom>
      </xdr:spPr>
    </xdr:pic>
    <xdr:clientData/>
  </xdr:twoCellAnchor>
  <xdr:twoCellAnchor editAs="oneCell">
    <xdr:from>
      <xdr:col>37</xdr:col>
      <xdr:colOff>21790</xdr:colOff>
      <xdr:row>54</xdr:row>
      <xdr:rowOff>17638</xdr:rowOff>
    </xdr:from>
    <xdr:to>
      <xdr:col>40</xdr:col>
      <xdr:colOff>23932</xdr:colOff>
      <xdr:row>57</xdr:row>
      <xdr:rowOff>47135</xdr:rowOff>
    </xdr:to>
    <xdr:pic>
      <xdr:nvPicPr>
        <xdr:cNvPr id="47" name="Gráfico 46">
          <a:extLst>
            <a:ext uri="{FF2B5EF4-FFF2-40B4-BE49-F238E27FC236}">
              <a16:creationId xmlns:a16="http://schemas.microsoft.com/office/drawing/2014/main" id="{C7E7D5C5-39A0-476D-A077-33414F3C8C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rcRect l="7864" r="7677" b="18561"/>
        <a:stretch/>
      </xdr:blipFill>
      <xdr:spPr>
        <a:xfrm>
          <a:off x="3123130" y="4955398"/>
          <a:ext cx="253602" cy="303817"/>
        </a:xfrm>
        <a:prstGeom prst="rect">
          <a:avLst/>
        </a:prstGeom>
      </xdr:spPr>
    </xdr:pic>
    <xdr:clientData/>
  </xdr:twoCellAnchor>
  <xdr:twoCellAnchor editAs="oneCell">
    <xdr:from>
      <xdr:col>55</xdr:col>
      <xdr:colOff>60961</xdr:colOff>
      <xdr:row>54</xdr:row>
      <xdr:rowOff>17639</xdr:rowOff>
    </xdr:from>
    <xdr:to>
      <xdr:col>58</xdr:col>
      <xdr:colOff>65346</xdr:colOff>
      <xdr:row>57</xdr:row>
      <xdr:rowOff>47135</xdr:rowOff>
    </xdr:to>
    <xdr:pic>
      <xdr:nvPicPr>
        <xdr:cNvPr id="48" name="Gráfico 47">
          <a:extLst>
            <a:ext uri="{FF2B5EF4-FFF2-40B4-BE49-F238E27FC236}">
              <a16:creationId xmlns:a16="http://schemas.microsoft.com/office/drawing/2014/main" id="{651994D6-7484-48ED-92B7-378B9FD3AED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rcRect l="14551" t="5355" r="14732" b="27465"/>
        <a:stretch/>
      </xdr:blipFill>
      <xdr:spPr>
        <a:xfrm>
          <a:off x="4671061" y="4955399"/>
          <a:ext cx="255845" cy="303816"/>
        </a:xfrm>
        <a:prstGeom prst="rect">
          <a:avLst/>
        </a:prstGeom>
      </xdr:spPr>
    </xdr:pic>
    <xdr:clientData/>
  </xdr:twoCellAnchor>
  <xdr:twoCellAnchor>
    <xdr:from>
      <xdr:col>56</xdr:col>
      <xdr:colOff>15240</xdr:colOff>
      <xdr:row>12</xdr:row>
      <xdr:rowOff>30480</xdr:rowOff>
    </xdr:from>
    <xdr:to>
      <xdr:col>79</xdr:col>
      <xdr:colOff>15240</xdr:colOff>
      <xdr:row>29</xdr:row>
      <xdr:rowOff>38100</xdr:rowOff>
    </xdr:to>
    <xdr:sp macro="" textlink="">
      <xdr:nvSpPr>
        <xdr:cNvPr id="118" name="Retângulo: Cantos Arredondados 117">
          <a:extLst>
            <a:ext uri="{FF2B5EF4-FFF2-40B4-BE49-F238E27FC236}">
              <a16:creationId xmlns:a16="http://schemas.microsoft.com/office/drawing/2014/main" id="{FEE71ECA-0130-4BF4-8CD8-A90629E8D7D1}"/>
            </a:ext>
          </a:extLst>
        </xdr:cNvPr>
        <xdr:cNvSpPr/>
      </xdr:nvSpPr>
      <xdr:spPr>
        <a:xfrm>
          <a:off x="4709160" y="1127760"/>
          <a:ext cx="1927860" cy="1562100"/>
        </a:xfrm>
        <a:prstGeom prst="roundRect">
          <a:avLst>
            <a:gd name="adj" fmla="val 6536"/>
          </a:avLst>
        </a:prstGeom>
        <a:solidFill>
          <a:srgbClr val="FFFF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56</xdr:col>
      <xdr:colOff>15240</xdr:colOff>
      <xdr:row>30</xdr:row>
      <xdr:rowOff>15240</xdr:rowOff>
    </xdr:from>
    <xdr:to>
      <xdr:col>79</xdr:col>
      <xdr:colOff>15240</xdr:colOff>
      <xdr:row>47</xdr:row>
      <xdr:rowOff>22860</xdr:rowOff>
    </xdr:to>
    <xdr:sp macro="" textlink="">
      <xdr:nvSpPr>
        <xdr:cNvPr id="119" name="Retângulo: Cantos Arredondados 118">
          <a:extLst>
            <a:ext uri="{FF2B5EF4-FFF2-40B4-BE49-F238E27FC236}">
              <a16:creationId xmlns:a16="http://schemas.microsoft.com/office/drawing/2014/main" id="{EB7AEDC3-0CC7-4443-9A7F-9DCF23EAF05F}"/>
            </a:ext>
          </a:extLst>
        </xdr:cNvPr>
        <xdr:cNvSpPr/>
      </xdr:nvSpPr>
      <xdr:spPr>
        <a:xfrm>
          <a:off x="4709160" y="2758440"/>
          <a:ext cx="1927860" cy="1562100"/>
        </a:xfrm>
        <a:prstGeom prst="roundRect">
          <a:avLst>
            <a:gd name="adj" fmla="val 6536"/>
          </a:avLst>
        </a:prstGeom>
        <a:solidFill>
          <a:srgbClr val="FFFF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55</xdr:col>
      <xdr:colOff>45720</xdr:colOff>
      <xdr:row>12</xdr:row>
      <xdr:rowOff>60960</xdr:rowOff>
    </xdr:from>
    <xdr:to>
      <xdr:col>80</xdr:col>
      <xdr:colOff>7620</xdr:colOff>
      <xdr:row>26</xdr:row>
      <xdr:rowOff>40800</xdr:rowOff>
    </xdr:to>
    <xdr:graphicFrame macro="">
      <xdr:nvGraphicFramePr>
        <xdr:cNvPr id="65" name="Gráfico 64">
          <a:extLst>
            <a:ext uri="{FF2B5EF4-FFF2-40B4-BE49-F238E27FC236}">
              <a16:creationId xmlns:a16="http://schemas.microsoft.com/office/drawing/2014/main" id="{192B704C-2950-4CCD-8A3A-85EFED5EA2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63</xdr:col>
      <xdr:colOff>68493</xdr:colOff>
      <xdr:row>17</xdr:row>
      <xdr:rowOff>0</xdr:rowOff>
    </xdr:from>
    <xdr:ext cx="691856" cy="403444"/>
    <xdr:sp macro="" textlink="Dinâmicas!L9">
      <xdr:nvSpPr>
        <xdr:cNvPr id="66" name="Retângulo 65">
          <a:extLst>
            <a:ext uri="{FF2B5EF4-FFF2-40B4-BE49-F238E27FC236}">
              <a16:creationId xmlns:a16="http://schemas.microsoft.com/office/drawing/2014/main" id="{275AA077-F809-4027-BBCF-3936C95BBE39}"/>
            </a:ext>
          </a:extLst>
        </xdr:cNvPr>
        <xdr:cNvSpPr/>
      </xdr:nvSpPr>
      <xdr:spPr>
        <a:xfrm>
          <a:off x="5349153" y="1554480"/>
          <a:ext cx="691856" cy="40344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marL="0" indent="0" algn="ctr"/>
          <a:fld id="{06F9CACB-55CC-4349-B908-5B3750B9840F}" type="TxLink">
            <a:rPr lang="en-US" sz="2000" b="0" i="0" u="none" strike="noStrike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  <a:ea typeface="+mn-ea"/>
              <a:cs typeface="Calibri"/>
            </a:rPr>
            <a:pPr marL="0" indent="0" algn="ctr"/>
            <a:t>50%</a:t>
          </a:fld>
          <a:endParaRPr lang="pt-BR" sz="2000" b="0" i="0" u="none" strike="noStrike" cap="none" spc="0">
            <a:ln w="0"/>
            <a:solidFill>
              <a:schemeClr val="accent1"/>
            </a:solidFill>
            <a:effectLst/>
            <a:latin typeface="Avenir Next LT Pro Light" panose="020B0304020202020204" pitchFamily="34" charset="0"/>
            <a:ea typeface="+mn-ea"/>
            <a:cs typeface="Calibri"/>
          </a:endParaRPr>
        </a:p>
      </xdr:txBody>
    </xdr:sp>
    <xdr:clientData/>
  </xdr:oneCellAnchor>
  <xdr:twoCellAnchor editAs="oneCell">
    <xdr:from>
      <xdr:col>56</xdr:col>
      <xdr:colOff>60960</xdr:colOff>
      <xdr:row>12</xdr:row>
      <xdr:rowOff>83820</xdr:rowOff>
    </xdr:from>
    <xdr:to>
      <xdr:col>61</xdr:col>
      <xdr:colOff>73860</xdr:colOff>
      <xdr:row>17</xdr:row>
      <xdr:rowOff>58620</xdr:rowOff>
    </xdr:to>
    <xdr:pic>
      <xdr:nvPicPr>
        <xdr:cNvPr id="67" name="Gráfico 66" descr="Nascer do sol">
          <a:extLst>
            <a:ext uri="{FF2B5EF4-FFF2-40B4-BE49-F238E27FC236}">
              <a16:creationId xmlns:a16="http://schemas.microsoft.com/office/drawing/2014/main" id="{9C603FBB-3585-479D-A356-1890D394A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754880" y="1181100"/>
          <a:ext cx="432000" cy="432000"/>
        </a:xfrm>
        <a:prstGeom prst="rect">
          <a:avLst/>
        </a:prstGeom>
      </xdr:spPr>
    </xdr:pic>
    <xdr:clientData/>
  </xdr:twoCellAnchor>
  <xdr:twoCellAnchor>
    <xdr:from>
      <xdr:col>55</xdr:col>
      <xdr:colOff>38100</xdr:colOff>
      <xdr:row>30</xdr:row>
      <xdr:rowOff>88740</xdr:rowOff>
    </xdr:from>
    <xdr:to>
      <xdr:col>80</xdr:col>
      <xdr:colOff>0</xdr:colOff>
      <xdr:row>44</xdr:row>
      <xdr:rowOff>68580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C969030B-97F7-4CB3-8D77-3C199A56DB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63</xdr:col>
      <xdr:colOff>68493</xdr:colOff>
      <xdr:row>35</xdr:row>
      <xdr:rowOff>53340</xdr:rowOff>
    </xdr:from>
    <xdr:ext cx="691856" cy="403444"/>
    <xdr:sp macro="" textlink="Dinâmicas!L10">
      <xdr:nvSpPr>
        <xdr:cNvPr id="70" name="Retângulo 69">
          <a:extLst>
            <a:ext uri="{FF2B5EF4-FFF2-40B4-BE49-F238E27FC236}">
              <a16:creationId xmlns:a16="http://schemas.microsoft.com/office/drawing/2014/main" id="{FDF632CE-C74F-4495-ADCA-4C852EB9B481}"/>
            </a:ext>
          </a:extLst>
        </xdr:cNvPr>
        <xdr:cNvSpPr/>
      </xdr:nvSpPr>
      <xdr:spPr>
        <a:xfrm>
          <a:off x="5349153" y="3253740"/>
          <a:ext cx="691856" cy="40344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marL="0" indent="0" algn="ctr"/>
          <a:fld id="{D33D091B-D7DC-4165-B3A5-A013349FCA50}" type="TxLink">
            <a:rPr lang="en-US" sz="2000" b="0" i="0" u="none" strike="noStrike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  <a:ea typeface="+mn-ea"/>
              <a:cs typeface="Calibri"/>
            </a:rPr>
            <a:pPr marL="0" indent="0" algn="ctr"/>
            <a:t>50%</a:t>
          </a:fld>
          <a:endParaRPr lang="pt-BR" sz="2000" b="0" i="0" u="none" strike="noStrike" cap="none" spc="0">
            <a:ln w="0"/>
            <a:solidFill>
              <a:schemeClr val="accent1"/>
            </a:solidFill>
            <a:effectLst/>
            <a:latin typeface="Avenir Next LT Pro Light" panose="020B0304020202020204" pitchFamily="34" charset="0"/>
            <a:ea typeface="+mn-ea"/>
            <a:cs typeface="Calibri"/>
          </a:endParaRPr>
        </a:p>
      </xdr:txBody>
    </xdr:sp>
    <xdr:clientData/>
  </xdr:oneCellAnchor>
  <xdr:twoCellAnchor editAs="oneCell">
    <xdr:from>
      <xdr:col>56</xdr:col>
      <xdr:colOff>45721</xdr:colOff>
      <xdr:row>31</xdr:row>
      <xdr:rowOff>45720</xdr:rowOff>
    </xdr:from>
    <xdr:to>
      <xdr:col>62</xdr:col>
      <xdr:colOff>41166</xdr:colOff>
      <xdr:row>35</xdr:row>
      <xdr:rowOff>39960</xdr:rowOff>
    </xdr:to>
    <xdr:pic>
      <xdr:nvPicPr>
        <xdr:cNvPr id="71" name="Gráfico 70">
          <a:extLst>
            <a:ext uri="{FF2B5EF4-FFF2-40B4-BE49-F238E27FC236}">
              <a16:creationId xmlns:a16="http://schemas.microsoft.com/office/drawing/2014/main" id="{79CB7EE1-6D06-4AEA-9FE6-7E5C058691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rcRect l="7800" r="8450" b="18076"/>
        <a:stretch/>
      </xdr:blipFill>
      <xdr:spPr>
        <a:xfrm>
          <a:off x="4739641" y="2880360"/>
          <a:ext cx="498365" cy="360000"/>
        </a:xfrm>
        <a:prstGeom prst="rect">
          <a:avLst/>
        </a:prstGeom>
      </xdr:spPr>
    </xdr:pic>
    <xdr:clientData/>
  </xdr:twoCellAnchor>
  <xdr:oneCellAnchor>
    <xdr:from>
      <xdr:col>55</xdr:col>
      <xdr:colOff>30480</xdr:colOff>
      <xdr:row>23</xdr:row>
      <xdr:rowOff>60960</xdr:rowOff>
    </xdr:from>
    <xdr:ext cx="929640" cy="527837"/>
    <xdr:sp macro="" textlink="Dinâmicas!K9">
      <xdr:nvSpPr>
        <xdr:cNvPr id="72" name="Retângulo 71">
          <a:extLst>
            <a:ext uri="{FF2B5EF4-FFF2-40B4-BE49-F238E27FC236}">
              <a16:creationId xmlns:a16="http://schemas.microsoft.com/office/drawing/2014/main" id="{23A3EDB1-D6F3-447A-AC33-306F94BB9056}"/>
            </a:ext>
          </a:extLst>
        </xdr:cNvPr>
        <xdr:cNvSpPr/>
      </xdr:nvSpPr>
      <xdr:spPr>
        <a:xfrm>
          <a:off x="4640580" y="2164080"/>
          <a:ext cx="929640" cy="52783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43A0DE76-FCED-4F77-9941-197D06F67F6A}" type="TxLink">
            <a:rPr lang="en-US" sz="2800" b="0" i="0" u="none" strike="noStrike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  <a:ea typeface="+mn-ea"/>
              <a:cs typeface="Calibri"/>
            </a:rPr>
            <a:pPr marL="0" indent="0" algn="ctr"/>
            <a:t>1</a:t>
          </a:fld>
          <a:endParaRPr lang="pt-BR" sz="2800" b="0" i="0" u="none" strike="noStrike" cap="none" spc="0">
            <a:ln w="0"/>
            <a:solidFill>
              <a:schemeClr val="accent1"/>
            </a:solidFill>
            <a:effectLst/>
            <a:latin typeface="Avenir Next LT Pro Light" panose="020B0304020202020204" pitchFamily="34" charset="0"/>
            <a:ea typeface="+mn-ea"/>
            <a:cs typeface="Calibri"/>
          </a:endParaRPr>
        </a:p>
      </xdr:txBody>
    </xdr:sp>
    <xdr:clientData/>
  </xdr:oneCellAnchor>
  <xdr:oneCellAnchor>
    <xdr:from>
      <xdr:col>64</xdr:col>
      <xdr:colOff>54410</xdr:colOff>
      <xdr:row>25</xdr:row>
      <xdr:rowOff>30480</xdr:rowOff>
    </xdr:from>
    <xdr:ext cx="1242776" cy="255647"/>
    <xdr:sp macro="" textlink="">
      <xdr:nvSpPr>
        <xdr:cNvPr id="73" name="Retângulo 72">
          <a:extLst>
            <a:ext uri="{FF2B5EF4-FFF2-40B4-BE49-F238E27FC236}">
              <a16:creationId xmlns:a16="http://schemas.microsoft.com/office/drawing/2014/main" id="{59DABED6-43CC-4F11-87EB-E669731FCF35}"/>
            </a:ext>
          </a:extLst>
        </xdr:cNvPr>
        <xdr:cNvSpPr/>
      </xdr:nvSpPr>
      <xdr:spPr>
        <a:xfrm>
          <a:off x="5418890" y="2316480"/>
          <a:ext cx="1242776" cy="25564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050" b="1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</a:rPr>
            <a:t>ATENDIMENTOS</a:t>
          </a:r>
        </a:p>
      </xdr:txBody>
    </xdr:sp>
    <xdr:clientData/>
  </xdr:oneCellAnchor>
  <xdr:oneCellAnchor>
    <xdr:from>
      <xdr:col>56</xdr:col>
      <xdr:colOff>70156</xdr:colOff>
      <xdr:row>41</xdr:row>
      <xdr:rowOff>68580</xdr:rowOff>
    </xdr:from>
    <xdr:ext cx="597087" cy="527837"/>
    <xdr:sp macro="" textlink="Dinâmicas!K10">
      <xdr:nvSpPr>
        <xdr:cNvPr id="74" name="Retângulo 73">
          <a:extLst>
            <a:ext uri="{FF2B5EF4-FFF2-40B4-BE49-F238E27FC236}">
              <a16:creationId xmlns:a16="http://schemas.microsoft.com/office/drawing/2014/main" id="{CAAA7073-0C0A-4739-9553-9F038E12BDAF}"/>
            </a:ext>
          </a:extLst>
        </xdr:cNvPr>
        <xdr:cNvSpPr/>
      </xdr:nvSpPr>
      <xdr:spPr>
        <a:xfrm>
          <a:off x="4764076" y="3817620"/>
          <a:ext cx="597087" cy="5278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marL="0" indent="0" algn="ctr"/>
          <a:fld id="{30F43321-9ED7-478B-A33A-720060A18125}" type="TxLink">
            <a:rPr lang="en-US" sz="2800" b="0" i="0" u="none" strike="noStrike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  <a:ea typeface="+mn-ea"/>
              <a:cs typeface="Calibri"/>
            </a:rPr>
            <a:pPr marL="0" indent="0" algn="ctr"/>
            <a:t>1</a:t>
          </a:fld>
          <a:endParaRPr lang="pt-BR" sz="2800" b="0" i="0" u="none" strike="noStrike" cap="none" spc="0">
            <a:ln w="0"/>
            <a:solidFill>
              <a:schemeClr val="accent1"/>
            </a:solidFill>
            <a:effectLst/>
            <a:latin typeface="Avenir Next LT Pro Light" panose="020B0304020202020204" pitchFamily="34" charset="0"/>
            <a:ea typeface="+mn-ea"/>
            <a:cs typeface="Calibri"/>
          </a:endParaRPr>
        </a:p>
      </xdr:txBody>
    </xdr:sp>
    <xdr:clientData/>
  </xdr:oneCellAnchor>
  <xdr:oneCellAnchor>
    <xdr:from>
      <xdr:col>64</xdr:col>
      <xdr:colOff>54410</xdr:colOff>
      <xdr:row>43</xdr:row>
      <xdr:rowOff>38100</xdr:rowOff>
    </xdr:from>
    <xdr:ext cx="1242776" cy="255647"/>
    <xdr:sp macro="" textlink="">
      <xdr:nvSpPr>
        <xdr:cNvPr id="75" name="Retângulo 74">
          <a:extLst>
            <a:ext uri="{FF2B5EF4-FFF2-40B4-BE49-F238E27FC236}">
              <a16:creationId xmlns:a16="http://schemas.microsoft.com/office/drawing/2014/main" id="{C372035D-D7D4-475F-9A70-C4AFB68F1231}"/>
            </a:ext>
          </a:extLst>
        </xdr:cNvPr>
        <xdr:cNvSpPr/>
      </xdr:nvSpPr>
      <xdr:spPr>
        <a:xfrm>
          <a:off x="5418890" y="3970020"/>
          <a:ext cx="1242776" cy="25564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050" b="1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</a:rPr>
            <a:t>ATENDIMENTOS</a:t>
          </a:r>
        </a:p>
      </xdr:txBody>
    </xdr:sp>
    <xdr:clientData/>
  </xdr:oneCellAnchor>
  <xdr:twoCellAnchor>
    <xdr:from>
      <xdr:col>83</xdr:col>
      <xdr:colOff>0</xdr:colOff>
      <xdr:row>17</xdr:row>
      <xdr:rowOff>45720</xdr:rowOff>
    </xdr:from>
    <xdr:to>
      <xdr:col>154</xdr:col>
      <xdr:colOff>0</xdr:colOff>
      <xdr:row>47</xdr:row>
      <xdr:rowOff>45720</xdr:rowOff>
    </xdr:to>
    <xdr:graphicFrame macro="">
      <xdr:nvGraphicFramePr>
        <xdr:cNvPr id="78" name="Gráfico 77">
          <a:extLst>
            <a:ext uri="{FF2B5EF4-FFF2-40B4-BE49-F238E27FC236}">
              <a16:creationId xmlns:a16="http://schemas.microsoft.com/office/drawing/2014/main" id="{752E42CC-81E0-487B-9958-8D00BB4E5B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16</xdr:col>
      <xdr:colOff>0</xdr:colOff>
      <xdr:row>63</xdr:row>
      <xdr:rowOff>76200</xdr:rowOff>
    </xdr:from>
    <xdr:to>
      <xdr:col>33</xdr:col>
      <xdr:colOff>15060</xdr:colOff>
      <xdr:row>79</xdr:row>
      <xdr:rowOff>53160</xdr:rowOff>
    </xdr:to>
    <xdr:graphicFrame macro="">
      <xdr:nvGraphicFramePr>
        <xdr:cNvPr id="79" name="Gráfico 78">
          <a:extLst>
            <a:ext uri="{FF2B5EF4-FFF2-40B4-BE49-F238E27FC236}">
              <a16:creationId xmlns:a16="http://schemas.microsoft.com/office/drawing/2014/main" id="{6704FDDD-0BE1-4692-932E-D47F16D6DF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35</xdr:col>
      <xdr:colOff>0</xdr:colOff>
      <xdr:row>63</xdr:row>
      <xdr:rowOff>76200</xdr:rowOff>
    </xdr:from>
    <xdr:to>
      <xdr:col>52</xdr:col>
      <xdr:colOff>15060</xdr:colOff>
      <xdr:row>79</xdr:row>
      <xdr:rowOff>53160</xdr:rowOff>
    </xdr:to>
    <xdr:graphicFrame macro="">
      <xdr:nvGraphicFramePr>
        <xdr:cNvPr id="80" name="Gráfico 79">
          <a:extLst>
            <a:ext uri="{FF2B5EF4-FFF2-40B4-BE49-F238E27FC236}">
              <a16:creationId xmlns:a16="http://schemas.microsoft.com/office/drawing/2014/main" id="{5FF7FFE1-A65A-4A6B-9583-537EE1254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53</xdr:col>
      <xdr:colOff>68580</xdr:colOff>
      <xdr:row>63</xdr:row>
      <xdr:rowOff>76200</xdr:rowOff>
    </xdr:from>
    <xdr:to>
      <xdr:col>70</xdr:col>
      <xdr:colOff>83640</xdr:colOff>
      <xdr:row>79</xdr:row>
      <xdr:rowOff>53160</xdr:rowOff>
    </xdr:to>
    <xdr:graphicFrame macro="">
      <xdr:nvGraphicFramePr>
        <xdr:cNvPr id="81" name="Gráfico 80">
          <a:extLst>
            <a:ext uri="{FF2B5EF4-FFF2-40B4-BE49-F238E27FC236}">
              <a16:creationId xmlns:a16="http://schemas.microsoft.com/office/drawing/2014/main" id="{A63A5DFE-EF2D-4CAD-969D-D4A595768B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oneCellAnchor>
    <xdr:from>
      <xdr:col>20</xdr:col>
      <xdr:colOff>10154</xdr:colOff>
      <xdr:row>69</xdr:row>
      <xdr:rowOff>7620</xdr:rowOff>
    </xdr:from>
    <xdr:ext cx="793294" cy="465640"/>
    <xdr:sp macro="" textlink="Dinâmicas!AE9">
      <xdr:nvSpPr>
        <xdr:cNvPr id="82" name="Retângulo 81">
          <a:extLst>
            <a:ext uri="{FF2B5EF4-FFF2-40B4-BE49-F238E27FC236}">
              <a16:creationId xmlns:a16="http://schemas.microsoft.com/office/drawing/2014/main" id="{1D9B7C58-36D3-489F-828E-F5CFEED96696}"/>
            </a:ext>
          </a:extLst>
        </xdr:cNvPr>
        <xdr:cNvSpPr/>
      </xdr:nvSpPr>
      <xdr:spPr>
        <a:xfrm>
          <a:off x="1686554" y="6316980"/>
          <a:ext cx="793294" cy="46564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marL="0" indent="0" algn="ctr"/>
          <a:fld id="{87805713-FB8C-42D2-81F2-0C89621EE4CE}" type="TxLink">
            <a:rPr lang="en-US" sz="2400" b="0" i="0" u="none" strike="noStrike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  <a:ea typeface="+mn-ea"/>
              <a:cs typeface="Calibri"/>
            </a:rPr>
            <a:pPr marL="0" indent="0" algn="ctr"/>
            <a:t>#DIV/0!</a:t>
          </a:fld>
          <a:endParaRPr lang="pt-BR" sz="2400" b="0" i="0" u="none" strike="noStrike" cap="none" spc="0">
            <a:ln w="0"/>
            <a:solidFill>
              <a:schemeClr val="accent1"/>
            </a:solidFill>
            <a:effectLst/>
            <a:latin typeface="Avenir Next LT Pro Light" panose="020B0304020202020204" pitchFamily="34" charset="0"/>
            <a:ea typeface="+mn-ea"/>
            <a:cs typeface="Calibri"/>
          </a:endParaRPr>
        </a:p>
      </xdr:txBody>
    </xdr:sp>
    <xdr:clientData/>
  </xdr:oneCellAnchor>
  <xdr:oneCellAnchor>
    <xdr:from>
      <xdr:col>39</xdr:col>
      <xdr:colOff>17774</xdr:colOff>
      <xdr:row>69</xdr:row>
      <xdr:rowOff>7620</xdr:rowOff>
    </xdr:from>
    <xdr:ext cx="793295" cy="465640"/>
    <xdr:sp macro="" textlink="Dinâmicas!AE10">
      <xdr:nvSpPr>
        <xdr:cNvPr id="83" name="Retângulo 82">
          <a:extLst>
            <a:ext uri="{FF2B5EF4-FFF2-40B4-BE49-F238E27FC236}">
              <a16:creationId xmlns:a16="http://schemas.microsoft.com/office/drawing/2014/main" id="{752F1B6F-0A1A-4362-96BE-9C28B3C02513}"/>
            </a:ext>
          </a:extLst>
        </xdr:cNvPr>
        <xdr:cNvSpPr/>
      </xdr:nvSpPr>
      <xdr:spPr>
        <a:xfrm>
          <a:off x="3286754" y="6316980"/>
          <a:ext cx="793295" cy="46564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marL="0" indent="0" algn="ctr"/>
          <a:fld id="{1F6801BC-386F-4418-B3E5-AA1A31CDC077}" type="TxLink">
            <a:rPr lang="en-US" sz="2400" b="0" i="0" u="none" strike="noStrike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  <a:ea typeface="+mn-ea"/>
              <a:cs typeface="Calibri"/>
            </a:rPr>
            <a:pPr marL="0" indent="0" algn="ctr"/>
            <a:t>#DIV/0!</a:t>
          </a:fld>
          <a:endParaRPr lang="pt-BR" sz="2400" b="0" i="0" u="none" strike="noStrike" cap="none" spc="0">
            <a:ln w="0"/>
            <a:solidFill>
              <a:schemeClr val="accent1"/>
            </a:solidFill>
            <a:effectLst/>
            <a:latin typeface="Avenir Next LT Pro Light" panose="020B0304020202020204" pitchFamily="34" charset="0"/>
            <a:ea typeface="+mn-ea"/>
            <a:cs typeface="Calibri"/>
          </a:endParaRPr>
        </a:p>
      </xdr:txBody>
    </xdr:sp>
    <xdr:clientData/>
  </xdr:oneCellAnchor>
  <xdr:oneCellAnchor>
    <xdr:from>
      <xdr:col>58</xdr:col>
      <xdr:colOff>10154</xdr:colOff>
      <xdr:row>69</xdr:row>
      <xdr:rowOff>7620</xdr:rowOff>
    </xdr:from>
    <xdr:ext cx="793295" cy="465640"/>
    <xdr:sp macro="" textlink="Dinâmicas!AE11">
      <xdr:nvSpPr>
        <xdr:cNvPr id="84" name="Retângulo 83">
          <a:extLst>
            <a:ext uri="{FF2B5EF4-FFF2-40B4-BE49-F238E27FC236}">
              <a16:creationId xmlns:a16="http://schemas.microsoft.com/office/drawing/2014/main" id="{79AAD019-C62E-44F7-8A60-525E58128B0D}"/>
            </a:ext>
          </a:extLst>
        </xdr:cNvPr>
        <xdr:cNvSpPr/>
      </xdr:nvSpPr>
      <xdr:spPr>
        <a:xfrm>
          <a:off x="4871714" y="6316980"/>
          <a:ext cx="793295" cy="46564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marL="0" indent="0" algn="ctr"/>
          <a:fld id="{41F988FF-5032-443E-BD48-EECAEB12C466}" type="TxLink">
            <a:rPr lang="en-US" sz="2400" b="0" i="0" u="none" strike="noStrike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  <a:ea typeface="+mn-ea"/>
              <a:cs typeface="Calibri"/>
            </a:rPr>
            <a:pPr marL="0" indent="0" algn="ctr"/>
            <a:t>#DIV/0!</a:t>
          </a:fld>
          <a:endParaRPr lang="pt-BR" sz="2400" b="0" i="0" u="none" strike="noStrike" cap="none" spc="0">
            <a:ln w="0"/>
            <a:solidFill>
              <a:schemeClr val="accent1"/>
            </a:solidFill>
            <a:effectLst/>
            <a:latin typeface="Avenir Next LT Pro Light" panose="020B0304020202020204" pitchFamily="34" charset="0"/>
            <a:ea typeface="+mn-ea"/>
            <a:cs typeface="Calibri"/>
          </a:endParaRPr>
        </a:p>
      </xdr:txBody>
    </xdr:sp>
    <xdr:clientData/>
  </xdr:oneCellAnchor>
  <xdr:oneCellAnchor>
    <xdr:from>
      <xdr:col>18</xdr:col>
      <xdr:colOff>0</xdr:colOff>
      <xdr:row>58</xdr:row>
      <xdr:rowOff>53340</xdr:rowOff>
    </xdr:from>
    <xdr:ext cx="1097280" cy="590098"/>
    <xdr:sp macro="" textlink="Dinâmicas!AD9">
      <xdr:nvSpPr>
        <xdr:cNvPr id="85" name="Retângulo 84">
          <a:extLst>
            <a:ext uri="{FF2B5EF4-FFF2-40B4-BE49-F238E27FC236}">
              <a16:creationId xmlns:a16="http://schemas.microsoft.com/office/drawing/2014/main" id="{B4BBD42A-A99D-48A0-AEF6-7E48FEC6C841}"/>
            </a:ext>
          </a:extLst>
        </xdr:cNvPr>
        <xdr:cNvSpPr/>
      </xdr:nvSpPr>
      <xdr:spPr>
        <a:xfrm>
          <a:off x="1508760" y="5356860"/>
          <a:ext cx="1097280" cy="59009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E1AED87A-E857-459A-B522-9731607C0746}" type="TxLink">
            <a:rPr lang="en-US" sz="3200" b="0" i="0" u="none" strike="noStrike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  <a:ea typeface="+mn-ea"/>
              <a:cs typeface="Calibri"/>
            </a:rPr>
            <a:pPr marL="0" indent="0" algn="ctr"/>
            <a:t>0</a:t>
          </a:fld>
          <a:endParaRPr lang="pt-BR" sz="3200" b="0" i="0" u="none" strike="noStrike" cap="none" spc="0">
            <a:ln w="0"/>
            <a:solidFill>
              <a:schemeClr val="accent1"/>
            </a:solidFill>
            <a:effectLst/>
            <a:latin typeface="Avenir Next LT Pro Light" panose="020B0304020202020204" pitchFamily="34" charset="0"/>
            <a:ea typeface="+mn-ea"/>
            <a:cs typeface="Calibri"/>
          </a:endParaRPr>
        </a:p>
      </xdr:txBody>
    </xdr:sp>
    <xdr:clientData/>
  </xdr:oneCellAnchor>
  <xdr:oneCellAnchor>
    <xdr:from>
      <xdr:col>36</xdr:col>
      <xdr:colOff>76200</xdr:colOff>
      <xdr:row>58</xdr:row>
      <xdr:rowOff>53340</xdr:rowOff>
    </xdr:from>
    <xdr:ext cx="1097280" cy="590098"/>
    <xdr:sp macro="" textlink="Dinâmicas!AD10">
      <xdr:nvSpPr>
        <xdr:cNvPr id="86" name="Retângulo 85">
          <a:extLst>
            <a:ext uri="{FF2B5EF4-FFF2-40B4-BE49-F238E27FC236}">
              <a16:creationId xmlns:a16="http://schemas.microsoft.com/office/drawing/2014/main" id="{FE2AF85B-F022-4811-A1C4-DCCAC6FFA662}"/>
            </a:ext>
          </a:extLst>
        </xdr:cNvPr>
        <xdr:cNvSpPr/>
      </xdr:nvSpPr>
      <xdr:spPr>
        <a:xfrm>
          <a:off x="3093720" y="5356860"/>
          <a:ext cx="1097280" cy="59009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13A5A976-4286-4FCB-8850-2D0101566095}" type="TxLink">
            <a:rPr lang="en-US" sz="3200" b="0" i="0" u="none" strike="noStrike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  <a:ea typeface="+mn-ea"/>
              <a:cs typeface="Calibri"/>
            </a:rPr>
            <a:pPr marL="0" indent="0" algn="ctr"/>
            <a:t>0</a:t>
          </a:fld>
          <a:endParaRPr lang="pt-BR" sz="3200" b="0" i="0" u="none" strike="noStrike" cap="none" spc="0">
            <a:ln w="0"/>
            <a:solidFill>
              <a:schemeClr val="accent1"/>
            </a:solidFill>
            <a:effectLst/>
            <a:latin typeface="Avenir Next LT Pro Light" panose="020B0304020202020204" pitchFamily="34" charset="0"/>
            <a:ea typeface="+mn-ea"/>
            <a:cs typeface="Calibri"/>
          </a:endParaRPr>
        </a:p>
      </xdr:txBody>
    </xdr:sp>
    <xdr:clientData/>
  </xdr:oneCellAnchor>
  <xdr:oneCellAnchor>
    <xdr:from>
      <xdr:col>55</xdr:col>
      <xdr:colOff>38100</xdr:colOff>
      <xdr:row>58</xdr:row>
      <xdr:rowOff>53340</xdr:rowOff>
    </xdr:from>
    <xdr:ext cx="1097280" cy="590098"/>
    <xdr:sp macro="" textlink="Dinâmicas!AD11">
      <xdr:nvSpPr>
        <xdr:cNvPr id="87" name="Retângulo 86">
          <a:extLst>
            <a:ext uri="{FF2B5EF4-FFF2-40B4-BE49-F238E27FC236}">
              <a16:creationId xmlns:a16="http://schemas.microsoft.com/office/drawing/2014/main" id="{8DA85A92-F479-4EDC-B254-1167DF2CC136}"/>
            </a:ext>
          </a:extLst>
        </xdr:cNvPr>
        <xdr:cNvSpPr/>
      </xdr:nvSpPr>
      <xdr:spPr>
        <a:xfrm>
          <a:off x="4648200" y="5356860"/>
          <a:ext cx="1097280" cy="59009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23411AA2-D8B6-4AAF-BA1F-CDFA7AF06DD0}" type="TxLink">
            <a:rPr lang="en-US" sz="3200" b="0" i="0" u="none" strike="noStrike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  <a:ea typeface="+mn-ea"/>
              <a:cs typeface="Calibri"/>
            </a:rPr>
            <a:pPr marL="0" indent="0" algn="ctr"/>
            <a:t>0</a:t>
          </a:fld>
          <a:endParaRPr lang="pt-BR" sz="3200" b="0" i="0" u="none" strike="noStrike" cap="none" spc="0">
            <a:ln w="0"/>
            <a:solidFill>
              <a:schemeClr val="accent1"/>
            </a:solidFill>
            <a:effectLst/>
            <a:latin typeface="Avenir Next LT Pro Light" panose="020B0304020202020204" pitchFamily="34" charset="0"/>
            <a:ea typeface="+mn-ea"/>
            <a:cs typeface="Calibri"/>
          </a:endParaRPr>
        </a:p>
      </xdr:txBody>
    </xdr:sp>
    <xdr:clientData/>
  </xdr:oneCellAnchor>
  <xdr:oneCellAnchor>
    <xdr:from>
      <xdr:col>20</xdr:col>
      <xdr:colOff>39610</xdr:colOff>
      <xdr:row>54</xdr:row>
      <xdr:rowOff>45720</xdr:rowOff>
    </xdr:from>
    <xdr:ext cx="1024255" cy="263405"/>
    <xdr:sp macro="" textlink="">
      <xdr:nvSpPr>
        <xdr:cNvPr id="88" name="Retângulo 87">
          <a:extLst>
            <a:ext uri="{FF2B5EF4-FFF2-40B4-BE49-F238E27FC236}">
              <a16:creationId xmlns:a16="http://schemas.microsoft.com/office/drawing/2014/main" id="{FDCFA4BA-3F90-48F2-A919-715EC019E06B}"/>
            </a:ext>
          </a:extLst>
        </xdr:cNvPr>
        <xdr:cNvSpPr/>
      </xdr:nvSpPr>
      <xdr:spPr>
        <a:xfrm>
          <a:off x="1716010" y="4983480"/>
          <a:ext cx="1024255" cy="2634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050" b="0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</a:rPr>
            <a:t>CONSULTAS</a:t>
          </a:r>
        </a:p>
      </xdr:txBody>
    </xdr:sp>
    <xdr:clientData/>
  </xdr:oneCellAnchor>
  <xdr:oneCellAnchor>
    <xdr:from>
      <xdr:col>40</xdr:col>
      <xdr:colOff>8679</xdr:colOff>
      <xdr:row>53</xdr:row>
      <xdr:rowOff>53340</xdr:rowOff>
    </xdr:from>
    <xdr:ext cx="933717" cy="418961"/>
    <xdr:sp macro="" textlink="">
      <xdr:nvSpPr>
        <xdr:cNvPr id="89" name="Retângulo 88">
          <a:extLst>
            <a:ext uri="{FF2B5EF4-FFF2-40B4-BE49-F238E27FC236}">
              <a16:creationId xmlns:a16="http://schemas.microsoft.com/office/drawing/2014/main" id="{C5914308-9E58-4E03-AB00-30AA8D07977C}"/>
            </a:ext>
          </a:extLst>
        </xdr:cNvPr>
        <xdr:cNvSpPr/>
      </xdr:nvSpPr>
      <xdr:spPr>
        <a:xfrm>
          <a:off x="3361479" y="4899660"/>
          <a:ext cx="933717" cy="41896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050" b="0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</a:rPr>
            <a:t>ENTREGA </a:t>
          </a:r>
        </a:p>
        <a:p>
          <a:pPr algn="ctr"/>
          <a:r>
            <a:rPr lang="pt-BR" sz="1050" b="0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</a:rPr>
            <a:t>DE EXAMES</a:t>
          </a:r>
        </a:p>
      </xdr:txBody>
    </xdr:sp>
    <xdr:clientData/>
  </xdr:oneCellAnchor>
  <xdr:oneCellAnchor>
    <xdr:from>
      <xdr:col>58</xdr:col>
      <xdr:colOff>74312</xdr:colOff>
      <xdr:row>53</xdr:row>
      <xdr:rowOff>53340</xdr:rowOff>
    </xdr:from>
    <xdr:ext cx="939616" cy="418961"/>
    <xdr:sp macro="" textlink="">
      <xdr:nvSpPr>
        <xdr:cNvPr id="90" name="Retângulo 89">
          <a:extLst>
            <a:ext uri="{FF2B5EF4-FFF2-40B4-BE49-F238E27FC236}">
              <a16:creationId xmlns:a16="http://schemas.microsoft.com/office/drawing/2014/main" id="{12B1E3E1-C712-499B-AB58-3ED23CEDECE1}"/>
            </a:ext>
          </a:extLst>
        </xdr:cNvPr>
        <xdr:cNvSpPr/>
      </xdr:nvSpPr>
      <xdr:spPr>
        <a:xfrm>
          <a:off x="4935872" y="4899660"/>
          <a:ext cx="939616" cy="41896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050" b="0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</a:rPr>
            <a:t>PEDIDO</a:t>
          </a:r>
        </a:p>
        <a:p>
          <a:pPr algn="ctr"/>
          <a:r>
            <a:rPr lang="pt-BR" sz="1050" b="0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</a:rPr>
            <a:t>DE RECEITA</a:t>
          </a:r>
        </a:p>
      </xdr:txBody>
    </xdr:sp>
    <xdr:clientData/>
  </xdr:oneCellAnchor>
  <xdr:twoCellAnchor>
    <xdr:from>
      <xdr:col>76</xdr:col>
      <xdr:colOff>0</xdr:colOff>
      <xdr:row>54</xdr:row>
      <xdr:rowOff>30480</xdr:rowOff>
    </xdr:from>
    <xdr:to>
      <xdr:col>162</xdr:col>
      <xdr:colOff>68580</xdr:colOff>
      <xdr:row>79</xdr:row>
      <xdr:rowOff>83820</xdr:rowOff>
    </xdr:to>
    <xdr:graphicFrame macro="">
      <xdr:nvGraphicFramePr>
        <xdr:cNvPr id="91" name="Gráfico 90">
          <a:extLst>
            <a:ext uri="{FF2B5EF4-FFF2-40B4-BE49-F238E27FC236}">
              <a16:creationId xmlns:a16="http://schemas.microsoft.com/office/drawing/2014/main" id="{332076BC-D0E9-423E-9213-9E88D05E24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17</xdr:col>
      <xdr:colOff>15240</xdr:colOff>
      <xdr:row>14</xdr:row>
      <xdr:rowOff>45720</xdr:rowOff>
    </xdr:from>
    <xdr:to>
      <xdr:col>25</xdr:col>
      <xdr:colOff>76200</xdr:colOff>
      <xdr:row>21</xdr:row>
      <xdr:rowOff>13274</xdr:rowOff>
    </xdr:to>
    <xdr:pic>
      <xdr:nvPicPr>
        <xdr:cNvPr id="102" name="Gráfico 101" descr="Destinatário">
          <a:extLst>
            <a:ext uri="{FF2B5EF4-FFF2-40B4-BE49-F238E27FC236}">
              <a16:creationId xmlns:a16="http://schemas.microsoft.com/office/drawing/2014/main" id="{49411FCC-BF9A-4DE6-9CE8-DF62E663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rcRect t="8468" b="8468"/>
        <a:stretch/>
      </xdr:blipFill>
      <xdr:spPr>
        <a:xfrm>
          <a:off x="1440180" y="1325880"/>
          <a:ext cx="731520" cy="607634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28</xdr:row>
      <xdr:rowOff>15240</xdr:rowOff>
    </xdr:from>
    <xdr:to>
      <xdr:col>39</xdr:col>
      <xdr:colOff>7620</xdr:colOff>
      <xdr:row>47</xdr:row>
      <xdr:rowOff>30480</xdr:rowOff>
    </xdr:to>
    <xdr:sp macro="" textlink="">
      <xdr:nvSpPr>
        <xdr:cNvPr id="114" name="Retângulo: Cantos Arredondados 113">
          <a:extLst>
            <a:ext uri="{FF2B5EF4-FFF2-40B4-BE49-F238E27FC236}">
              <a16:creationId xmlns:a16="http://schemas.microsoft.com/office/drawing/2014/main" id="{75ADED3B-904D-4646-9894-CF4C0E9D1747}"/>
            </a:ext>
          </a:extLst>
        </xdr:cNvPr>
        <xdr:cNvSpPr/>
      </xdr:nvSpPr>
      <xdr:spPr>
        <a:xfrm>
          <a:off x="1257300" y="2575560"/>
          <a:ext cx="2019300" cy="1752600"/>
        </a:xfrm>
        <a:prstGeom prst="roundRect">
          <a:avLst>
            <a:gd name="adj" fmla="val 6536"/>
          </a:avLst>
        </a:prstGeom>
        <a:solidFill>
          <a:srgbClr val="FFFF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45720</xdr:colOff>
      <xdr:row>28</xdr:row>
      <xdr:rowOff>7620</xdr:rowOff>
    </xdr:from>
    <xdr:to>
      <xdr:col>47</xdr:col>
      <xdr:colOff>60960</xdr:colOff>
      <xdr:row>47</xdr:row>
      <xdr:rowOff>38100</xdr:rowOff>
    </xdr:to>
    <xdr:graphicFrame macro="">
      <xdr:nvGraphicFramePr>
        <xdr:cNvPr id="103" name="Gráfico 102">
          <a:extLst>
            <a:ext uri="{FF2B5EF4-FFF2-40B4-BE49-F238E27FC236}">
              <a16:creationId xmlns:a16="http://schemas.microsoft.com/office/drawing/2014/main" id="{8CCAD974-93C5-4820-A874-1BD14099F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18</xdr:col>
      <xdr:colOff>53340</xdr:colOff>
      <xdr:row>29</xdr:row>
      <xdr:rowOff>76200</xdr:rowOff>
    </xdr:from>
    <xdr:to>
      <xdr:col>22</xdr:col>
      <xdr:colOff>78060</xdr:colOff>
      <xdr:row>33</xdr:row>
      <xdr:rowOff>70440</xdr:rowOff>
    </xdr:to>
    <xdr:grpSp>
      <xdr:nvGrpSpPr>
        <xdr:cNvPr id="104" name="Agrupar 103">
          <a:extLst>
            <a:ext uri="{FF2B5EF4-FFF2-40B4-BE49-F238E27FC236}">
              <a16:creationId xmlns:a16="http://schemas.microsoft.com/office/drawing/2014/main" id="{70A39742-3AEE-46CD-9D70-BBE5D902E2FA}"/>
            </a:ext>
          </a:extLst>
        </xdr:cNvPr>
        <xdr:cNvGrpSpPr/>
      </xdr:nvGrpSpPr>
      <xdr:grpSpPr>
        <a:xfrm>
          <a:off x="1562100" y="2727960"/>
          <a:ext cx="360000" cy="360000"/>
          <a:chOff x="4610100" y="2567940"/>
          <a:chExt cx="617220" cy="617220"/>
        </a:xfrm>
      </xdr:grpSpPr>
      <xdr:pic>
        <xdr:nvPicPr>
          <xdr:cNvPr id="105" name="Gráfico 104" descr="Marca de seleção">
            <a:extLst>
              <a:ext uri="{FF2B5EF4-FFF2-40B4-BE49-F238E27FC236}">
                <a16:creationId xmlns:a16="http://schemas.microsoft.com/office/drawing/2014/main" id="{FA6FBCDD-2096-4FCD-9D4E-AA55074230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4693920" y="2659380"/>
            <a:ext cx="468000" cy="468000"/>
          </a:xfrm>
          <a:prstGeom prst="rect">
            <a:avLst/>
          </a:prstGeom>
        </xdr:spPr>
      </xdr:pic>
      <xdr:sp macro="" textlink="">
        <xdr:nvSpPr>
          <xdr:cNvPr id="106" name="Elipse 105">
            <a:extLst>
              <a:ext uri="{FF2B5EF4-FFF2-40B4-BE49-F238E27FC236}">
                <a16:creationId xmlns:a16="http://schemas.microsoft.com/office/drawing/2014/main" id="{2ACC8442-0D5F-4DC2-900E-3CB495034C27}"/>
              </a:ext>
            </a:extLst>
          </xdr:cNvPr>
          <xdr:cNvSpPr/>
        </xdr:nvSpPr>
        <xdr:spPr>
          <a:xfrm>
            <a:off x="4610100" y="2567940"/>
            <a:ext cx="617220" cy="617220"/>
          </a:xfrm>
          <a:prstGeom prst="ellipse">
            <a:avLst/>
          </a:prstGeom>
          <a:noFill/>
          <a:ln w="381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44</xdr:col>
      <xdr:colOff>68580</xdr:colOff>
      <xdr:row>29</xdr:row>
      <xdr:rowOff>76200</xdr:rowOff>
    </xdr:from>
    <xdr:to>
      <xdr:col>49</xdr:col>
      <xdr:colOff>9480</xdr:colOff>
      <xdr:row>33</xdr:row>
      <xdr:rowOff>70440</xdr:rowOff>
    </xdr:to>
    <xdr:grpSp>
      <xdr:nvGrpSpPr>
        <xdr:cNvPr id="107" name="Agrupar 106">
          <a:extLst>
            <a:ext uri="{FF2B5EF4-FFF2-40B4-BE49-F238E27FC236}">
              <a16:creationId xmlns:a16="http://schemas.microsoft.com/office/drawing/2014/main" id="{5F7C8B9F-5D16-44BF-AAFA-1F6EA5D5515B}"/>
            </a:ext>
          </a:extLst>
        </xdr:cNvPr>
        <xdr:cNvGrpSpPr/>
      </xdr:nvGrpSpPr>
      <xdr:grpSpPr>
        <a:xfrm>
          <a:off x="3756660" y="2727960"/>
          <a:ext cx="360000" cy="360000"/>
          <a:chOff x="5638800" y="2567940"/>
          <a:chExt cx="617220" cy="617220"/>
        </a:xfrm>
      </xdr:grpSpPr>
      <xdr:pic>
        <xdr:nvPicPr>
          <xdr:cNvPr id="108" name="Gráfico 107" descr="Fechar">
            <a:extLst>
              <a:ext uri="{FF2B5EF4-FFF2-40B4-BE49-F238E27FC236}">
                <a16:creationId xmlns:a16="http://schemas.microsoft.com/office/drawing/2014/main" id="{CB5D1076-0636-4456-A147-364E1AC4C4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7"/>
              </a:ext>
            </a:extLst>
          </a:blip>
          <a:stretch>
            <a:fillRect/>
          </a:stretch>
        </xdr:blipFill>
        <xdr:spPr>
          <a:xfrm>
            <a:off x="5720220" y="2656980"/>
            <a:ext cx="468000" cy="468000"/>
          </a:xfrm>
          <a:prstGeom prst="rect">
            <a:avLst/>
          </a:prstGeom>
        </xdr:spPr>
      </xdr:pic>
      <xdr:sp macro="" textlink="">
        <xdr:nvSpPr>
          <xdr:cNvPr id="109" name="Elipse 108">
            <a:extLst>
              <a:ext uri="{FF2B5EF4-FFF2-40B4-BE49-F238E27FC236}">
                <a16:creationId xmlns:a16="http://schemas.microsoft.com/office/drawing/2014/main" id="{CDAA4DDF-912B-46DC-89DF-34973EDEBBDF}"/>
              </a:ext>
            </a:extLst>
          </xdr:cNvPr>
          <xdr:cNvSpPr/>
        </xdr:nvSpPr>
        <xdr:spPr>
          <a:xfrm>
            <a:off x="5638800" y="2567940"/>
            <a:ext cx="617220" cy="617220"/>
          </a:xfrm>
          <a:prstGeom prst="ellipse">
            <a:avLst/>
          </a:prstGeom>
          <a:noFill/>
          <a:ln w="381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oneCellAnchor>
    <xdr:from>
      <xdr:col>17</xdr:col>
      <xdr:colOff>2626</xdr:colOff>
      <xdr:row>34</xdr:row>
      <xdr:rowOff>83820</xdr:rowOff>
    </xdr:from>
    <xdr:ext cx="655949" cy="590098"/>
    <xdr:sp macro="" textlink="Dinâmicas!S9">
      <xdr:nvSpPr>
        <xdr:cNvPr id="110" name="Retângulo 109">
          <a:extLst>
            <a:ext uri="{FF2B5EF4-FFF2-40B4-BE49-F238E27FC236}">
              <a16:creationId xmlns:a16="http://schemas.microsoft.com/office/drawing/2014/main" id="{27D4973D-026A-4A05-83A3-7A3924B139F0}"/>
            </a:ext>
          </a:extLst>
        </xdr:cNvPr>
        <xdr:cNvSpPr/>
      </xdr:nvSpPr>
      <xdr:spPr>
        <a:xfrm>
          <a:off x="1427566" y="3192780"/>
          <a:ext cx="655949" cy="59009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marL="0" indent="0" algn="ctr"/>
          <a:fld id="{CA0CE9AD-26D6-4A78-93BB-FDD442FAE7AB}" type="TxLink">
            <a:rPr lang="en-US" sz="3200" b="0" i="0" u="none" strike="noStrike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  <a:ea typeface="+mn-ea"/>
              <a:cs typeface="Calibri"/>
            </a:rPr>
            <a:pPr marL="0" indent="0" algn="ctr"/>
            <a:t>2</a:t>
          </a:fld>
          <a:endParaRPr lang="pt-BR" sz="3200" b="0" i="0" u="none" strike="noStrike" cap="none" spc="0">
            <a:ln w="0"/>
            <a:solidFill>
              <a:schemeClr val="accent1"/>
            </a:solidFill>
            <a:effectLst/>
            <a:latin typeface="Avenir Next LT Pro Light" panose="020B0304020202020204" pitchFamily="34" charset="0"/>
            <a:ea typeface="+mn-ea"/>
            <a:cs typeface="Calibri"/>
          </a:endParaRPr>
        </a:p>
      </xdr:txBody>
    </xdr:sp>
    <xdr:clientData/>
  </xdr:oneCellAnchor>
  <xdr:oneCellAnchor>
    <xdr:from>
      <xdr:col>15</xdr:col>
      <xdr:colOff>50842</xdr:colOff>
      <xdr:row>41</xdr:row>
      <xdr:rowOff>0</xdr:rowOff>
    </xdr:from>
    <xdr:ext cx="894797" cy="527837"/>
    <xdr:sp macro="" textlink="Dinâmicas!T9">
      <xdr:nvSpPr>
        <xdr:cNvPr id="111" name="Retângulo 110">
          <a:extLst>
            <a:ext uri="{FF2B5EF4-FFF2-40B4-BE49-F238E27FC236}">
              <a16:creationId xmlns:a16="http://schemas.microsoft.com/office/drawing/2014/main" id="{60977B3B-CE8E-4DF5-885E-CFAB4DC15E23}"/>
            </a:ext>
          </a:extLst>
        </xdr:cNvPr>
        <xdr:cNvSpPr/>
      </xdr:nvSpPr>
      <xdr:spPr>
        <a:xfrm>
          <a:off x="1308142" y="3749040"/>
          <a:ext cx="894797" cy="5278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marL="0" indent="0" algn="ctr"/>
          <a:fld id="{9454C6AD-5252-4E43-88A0-A7A936DCFF21}" type="TxLink">
            <a:rPr lang="en-US" sz="2800" b="0" i="0" u="none" strike="noStrike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  <a:ea typeface="+mn-ea"/>
              <a:cs typeface="Calibri"/>
            </a:rPr>
            <a:pPr marL="0" indent="0" algn="ctr"/>
            <a:t>100%</a:t>
          </a:fld>
          <a:endParaRPr lang="pt-BR" sz="2800" b="0" i="0" u="none" strike="noStrike" cap="none" spc="0">
            <a:ln w="0"/>
            <a:solidFill>
              <a:schemeClr val="accent1"/>
            </a:solidFill>
            <a:effectLst/>
            <a:latin typeface="Avenir Next LT Pro Light" panose="020B0304020202020204" pitchFamily="34" charset="0"/>
            <a:ea typeface="+mn-ea"/>
            <a:cs typeface="Calibri"/>
          </a:endParaRPr>
        </a:p>
      </xdr:txBody>
    </xdr:sp>
    <xdr:clientData/>
  </xdr:oneCellAnchor>
  <xdr:oneCellAnchor>
    <xdr:from>
      <xdr:col>42</xdr:col>
      <xdr:colOff>25486</xdr:colOff>
      <xdr:row>34</xdr:row>
      <xdr:rowOff>83820</xdr:rowOff>
    </xdr:from>
    <xdr:ext cx="655949" cy="590098"/>
    <xdr:sp macro="" textlink="Dinâmicas!S10">
      <xdr:nvSpPr>
        <xdr:cNvPr id="112" name="Retângulo 111">
          <a:extLst>
            <a:ext uri="{FF2B5EF4-FFF2-40B4-BE49-F238E27FC236}">
              <a16:creationId xmlns:a16="http://schemas.microsoft.com/office/drawing/2014/main" id="{ADF7396E-E6BC-451D-927F-7D174DE11C5C}"/>
            </a:ext>
          </a:extLst>
        </xdr:cNvPr>
        <xdr:cNvSpPr/>
      </xdr:nvSpPr>
      <xdr:spPr>
        <a:xfrm>
          <a:off x="3545926" y="3192780"/>
          <a:ext cx="655949" cy="59009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marL="0" indent="0" algn="ctr"/>
          <a:fld id="{B44F278F-A58D-4182-BB48-B865F54900A8}" type="TxLink">
            <a:rPr lang="en-US" sz="3200" b="0" i="0" u="none" strike="noStrike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  <a:ea typeface="+mn-ea"/>
              <a:cs typeface="Calibri"/>
            </a:rPr>
            <a:pPr marL="0" indent="0" algn="ctr"/>
            <a:t>0</a:t>
          </a:fld>
          <a:endParaRPr lang="pt-BR" sz="3200" b="0" i="0" u="none" strike="noStrike" cap="none" spc="0">
            <a:ln w="0"/>
            <a:solidFill>
              <a:schemeClr val="accent1"/>
            </a:solidFill>
            <a:effectLst/>
            <a:latin typeface="Avenir Next LT Pro Light" panose="020B0304020202020204" pitchFamily="34" charset="0"/>
            <a:ea typeface="+mn-ea"/>
            <a:cs typeface="Calibri"/>
          </a:endParaRPr>
        </a:p>
      </xdr:txBody>
    </xdr:sp>
    <xdr:clientData/>
  </xdr:oneCellAnchor>
  <xdr:oneCellAnchor>
    <xdr:from>
      <xdr:col>40</xdr:col>
      <xdr:colOff>73702</xdr:colOff>
      <xdr:row>41</xdr:row>
      <xdr:rowOff>0</xdr:rowOff>
    </xdr:from>
    <xdr:ext cx="894797" cy="527837"/>
    <xdr:sp macro="" textlink="Dinâmicas!T10">
      <xdr:nvSpPr>
        <xdr:cNvPr id="113" name="Retângulo 112">
          <a:extLst>
            <a:ext uri="{FF2B5EF4-FFF2-40B4-BE49-F238E27FC236}">
              <a16:creationId xmlns:a16="http://schemas.microsoft.com/office/drawing/2014/main" id="{C4EEC00B-0916-419D-8D01-1281F02B3B3C}"/>
            </a:ext>
          </a:extLst>
        </xdr:cNvPr>
        <xdr:cNvSpPr/>
      </xdr:nvSpPr>
      <xdr:spPr>
        <a:xfrm>
          <a:off x="3426502" y="3749040"/>
          <a:ext cx="894797" cy="5278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marL="0" indent="0" algn="ctr"/>
          <a:fld id="{F7F00E5D-FB47-4852-BB7C-7D18B750D3DA}" type="TxLink">
            <a:rPr lang="en-US" sz="2800" b="0" i="0" u="none" strike="noStrike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  <a:ea typeface="+mn-ea"/>
              <a:cs typeface="Calibri"/>
            </a:rPr>
            <a:pPr marL="0" indent="0" algn="ctr"/>
            <a:t>0%</a:t>
          </a:fld>
          <a:endParaRPr lang="pt-BR" sz="2800" b="0" i="0" u="none" strike="noStrike" cap="none" spc="0">
            <a:ln w="0"/>
            <a:solidFill>
              <a:schemeClr val="accent1"/>
            </a:solidFill>
            <a:effectLst/>
            <a:latin typeface="Avenir Next LT Pro Light" panose="020B0304020202020204" pitchFamily="34" charset="0"/>
            <a:ea typeface="+mn-ea"/>
            <a:cs typeface="Calibri"/>
          </a:endParaRPr>
        </a:p>
      </xdr:txBody>
    </xdr:sp>
    <xdr:clientData/>
  </xdr:oneCellAnchor>
  <xdr:twoCellAnchor editAs="oneCell">
    <xdr:from>
      <xdr:col>3</xdr:col>
      <xdr:colOff>7620</xdr:colOff>
      <xdr:row>15</xdr:row>
      <xdr:rowOff>53341</xdr:rowOff>
    </xdr:from>
    <xdr:to>
      <xdr:col>12</xdr:col>
      <xdr:colOff>22860</xdr:colOff>
      <xdr:row>29</xdr:row>
      <xdr:rowOff>7621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Ano">
              <a:extLst>
                <a:ext uri="{FF2B5EF4-FFF2-40B4-BE49-F238E27FC236}">
                  <a16:creationId xmlns:a16="http://schemas.microsoft.com/office/drawing/2014/main" id="{2EA9BCF7-98A9-4910-81A5-91995A946DCF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9080" y="1424941"/>
              <a:ext cx="769620" cy="12344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oneCell">
    <xdr:from>
      <xdr:col>3</xdr:col>
      <xdr:colOff>7620</xdr:colOff>
      <xdr:row>30</xdr:row>
      <xdr:rowOff>83820</xdr:rowOff>
    </xdr:from>
    <xdr:to>
      <xdr:col>12</xdr:col>
      <xdr:colOff>23640</xdr:colOff>
      <xdr:row>67</xdr:row>
      <xdr:rowOff>83820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Mês">
              <a:extLst>
                <a:ext uri="{FF2B5EF4-FFF2-40B4-BE49-F238E27FC236}">
                  <a16:creationId xmlns:a16="http://schemas.microsoft.com/office/drawing/2014/main" id="{3786CC9D-5552-451B-81C0-39C1E55256A9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9080" y="2827020"/>
              <a:ext cx="770400" cy="33832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>
    <xdr:from>
      <xdr:col>2</xdr:col>
      <xdr:colOff>59650</xdr:colOff>
      <xdr:row>70</xdr:row>
      <xdr:rowOff>0</xdr:rowOff>
    </xdr:from>
    <xdr:to>
      <xdr:col>12</xdr:col>
      <xdr:colOff>53216</xdr:colOff>
      <xdr:row>80</xdr:row>
      <xdr:rowOff>45720</xdr:rowOff>
    </xdr:to>
    <xdr:grpSp>
      <xdr:nvGrpSpPr>
        <xdr:cNvPr id="27" name="botao_regional">
          <a:extLst>
            <a:ext uri="{FF2B5EF4-FFF2-40B4-BE49-F238E27FC236}">
              <a16:creationId xmlns:a16="http://schemas.microsoft.com/office/drawing/2014/main" id="{14FF0F1F-D3D8-4631-AF50-211463D49FBE}"/>
            </a:ext>
          </a:extLst>
        </xdr:cNvPr>
        <xdr:cNvGrpSpPr/>
      </xdr:nvGrpSpPr>
      <xdr:grpSpPr>
        <a:xfrm>
          <a:off x="227290" y="6400800"/>
          <a:ext cx="831766" cy="960120"/>
          <a:chOff x="227290" y="6400800"/>
          <a:chExt cx="831766" cy="960120"/>
        </a:xfrm>
      </xdr:grpSpPr>
      <xdr:sp macro="[0]!EstaPastaDeTrabalho.aparecer_" textlink="">
        <xdr:nvSpPr>
          <xdr:cNvPr id="95" name="Retângulo: Cantos Arredondados 94">
            <a:extLst>
              <a:ext uri="{FF2B5EF4-FFF2-40B4-BE49-F238E27FC236}">
                <a16:creationId xmlns:a16="http://schemas.microsoft.com/office/drawing/2014/main" id="{6FC30312-DAF9-4E5A-8191-AE627C6BFC97}"/>
              </a:ext>
            </a:extLst>
          </xdr:cNvPr>
          <xdr:cNvSpPr/>
        </xdr:nvSpPr>
        <xdr:spPr>
          <a:xfrm>
            <a:off x="251460" y="6400800"/>
            <a:ext cx="792480" cy="960120"/>
          </a:xfrm>
          <a:prstGeom prst="roundRect">
            <a:avLst>
              <a:gd name="adj" fmla="val 14238"/>
            </a:avLst>
          </a:prstGeom>
          <a:solidFill>
            <a:srgbClr val="026873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EC751F47-60C1-439D-AC02-C97354E52386}"/>
              </a:ext>
            </a:extLst>
          </xdr:cNvPr>
          <xdr:cNvGrpSpPr/>
        </xdr:nvGrpSpPr>
        <xdr:grpSpPr>
          <a:xfrm>
            <a:off x="403860" y="6812280"/>
            <a:ext cx="457200" cy="457200"/>
            <a:chOff x="365760" y="2971800"/>
            <a:chExt cx="563880" cy="563880"/>
          </a:xfrm>
        </xdr:grpSpPr>
        <xdr:sp macro="[0]!EstaPastaDeTrabalho.aparecer_" textlink="">
          <xdr:nvSpPr>
            <xdr:cNvPr id="18" name="Elipse 17">
              <a:extLst>
                <a:ext uri="{FF2B5EF4-FFF2-40B4-BE49-F238E27FC236}">
                  <a16:creationId xmlns:a16="http://schemas.microsoft.com/office/drawing/2014/main" id="{B734657B-C005-43EC-99F5-F43018A81301}"/>
                </a:ext>
              </a:extLst>
            </xdr:cNvPr>
            <xdr:cNvSpPr/>
          </xdr:nvSpPr>
          <xdr:spPr>
            <a:xfrm>
              <a:off x="365760" y="2971800"/>
              <a:ext cx="563880" cy="563880"/>
            </a:xfrm>
            <a:prstGeom prst="ellipse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EstaPastaDeTrabalho.aparecer_">
          <xdr:nvPicPr>
            <xdr:cNvPr id="20" name="Gráfico 19">
              <a:extLst>
                <a:ext uri="{FF2B5EF4-FFF2-40B4-BE49-F238E27FC236}">
                  <a16:creationId xmlns:a16="http://schemas.microsoft.com/office/drawing/2014/main" id="{E1E1862C-8B28-44FC-9BFC-3F9E5B8FA8F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9"/>
                </a:ext>
              </a:extLst>
            </a:blip>
            <a:srcRect b="20338"/>
            <a:stretch/>
          </xdr:blipFill>
          <xdr:spPr>
            <a:xfrm>
              <a:off x="426721" y="3048001"/>
              <a:ext cx="449580" cy="447683"/>
            </a:xfrm>
            <a:prstGeom prst="rect">
              <a:avLst/>
            </a:prstGeom>
          </xdr:spPr>
        </xdr:pic>
      </xdr:grpSp>
      <xdr:sp macro="[0]!EstaPastaDeTrabalho.aparecer_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1DAFE58E-0743-4858-8173-F68CFD2CEC37}"/>
              </a:ext>
            </a:extLst>
          </xdr:cNvPr>
          <xdr:cNvSpPr/>
        </xdr:nvSpPr>
        <xdr:spPr>
          <a:xfrm>
            <a:off x="227290" y="6408420"/>
            <a:ext cx="831766" cy="403444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000" b="0" cap="none" spc="0">
                <a:ln w="0"/>
                <a:solidFill>
                  <a:schemeClr val="bg1"/>
                </a:solidFill>
                <a:effectLst/>
                <a:latin typeface="Avenir Next LT Pro Light" panose="020B0304020202020204" pitchFamily="34" charset="0"/>
              </a:rPr>
              <a:t>ANÁLISE</a:t>
            </a:r>
          </a:p>
          <a:p>
            <a:pPr algn="ctr"/>
            <a:r>
              <a:rPr lang="pt-BR" sz="1000" b="0" cap="none" spc="0">
                <a:ln w="0"/>
                <a:solidFill>
                  <a:schemeClr val="bg1"/>
                </a:solidFill>
                <a:effectLst/>
                <a:latin typeface="Avenir Next LT Pro Light" panose="020B0304020202020204" pitchFamily="34" charset="0"/>
              </a:rPr>
              <a:t>REGIONAL</a:t>
            </a:r>
          </a:p>
        </xdr:txBody>
      </xdr:sp>
    </xdr:grpSp>
    <xdr:clientData/>
  </xdr:twoCellAnchor>
  <xdr:twoCellAnchor>
    <xdr:from>
      <xdr:col>23</xdr:col>
      <xdr:colOff>59615</xdr:colOff>
      <xdr:row>13</xdr:row>
      <xdr:rowOff>23756</xdr:rowOff>
    </xdr:from>
    <xdr:to>
      <xdr:col>155</xdr:col>
      <xdr:colOff>25998</xdr:colOff>
      <xdr:row>74</xdr:row>
      <xdr:rowOff>54237</xdr:rowOff>
    </xdr:to>
    <xdr:grpSp>
      <xdr:nvGrpSpPr>
        <xdr:cNvPr id="39" name="grupo_regional" hidden="1">
          <a:extLst>
            <a:ext uri="{FF2B5EF4-FFF2-40B4-BE49-F238E27FC236}">
              <a16:creationId xmlns:a16="http://schemas.microsoft.com/office/drawing/2014/main" id="{68675664-E9C8-4E0E-80C7-56BB4506A3B1}"/>
            </a:ext>
          </a:extLst>
        </xdr:cNvPr>
        <xdr:cNvGrpSpPr/>
      </xdr:nvGrpSpPr>
      <xdr:grpSpPr>
        <a:xfrm>
          <a:off x="1987475" y="1212476"/>
          <a:ext cx="11030623" cy="5608321"/>
          <a:chOff x="1402080" y="7942281"/>
          <a:chExt cx="10619591" cy="5498951"/>
        </a:xfrm>
      </xdr:grpSpPr>
      <xdr:sp macro="" textlink="">
        <xdr:nvSpPr>
          <xdr:cNvPr id="121" name="Retângulo: Cantos Arredondados 120" hidden="1">
            <a:extLst>
              <a:ext uri="{FF2B5EF4-FFF2-40B4-BE49-F238E27FC236}">
                <a16:creationId xmlns:a16="http://schemas.microsoft.com/office/drawing/2014/main" id="{A520A273-1774-423F-B87D-8C7BB4E8933F}"/>
              </a:ext>
            </a:extLst>
          </xdr:cNvPr>
          <xdr:cNvSpPr/>
        </xdr:nvSpPr>
        <xdr:spPr>
          <a:xfrm>
            <a:off x="1402080" y="7942281"/>
            <a:ext cx="10619591" cy="5483711"/>
          </a:xfrm>
          <a:prstGeom prst="roundRect">
            <a:avLst>
              <a:gd name="adj" fmla="val 2411"/>
            </a:avLst>
          </a:prstGeom>
          <a:solidFill>
            <a:srgbClr val="026873">
              <a:alpha val="89804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2" name="Retângulo: Cantos Arredondados 121" hidden="1">
            <a:extLst>
              <a:ext uri="{FF2B5EF4-FFF2-40B4-BE49-F238E27FC236}">
                <a16:creationId xmlns:a16="http://schemas.microsoft.com/office/drawing/2014/main" id="{E768F9B7-41A8-444F-821D-8557A0AFC3F0}"/>
              </a:ext>
            </a:extLst>
          </xdr:cNvPr>
          <xdr:cNvSpPr/>
        </xdr:nvSpPr>
        <xdr:spPr>
          <a:xfrm>
            <a:off x="1482762" y="8420996"/>
            <a:ext cx="10481086" cy="4930589"/>
          </a:xfrm>
          <a:prstGeom prst="roundRect">
            <a:avLst>
              <a:gd name="adj" fmla="val 2411"/>
            </a:avLst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3" name="Retângulo 122" hidden="1">
            <a:extLst>
              <a:ext uri="{FF2B5EF4-FFF2-40B4-BE49-F238E27FC236}">
                <a16:creationId xmlns:a16="http://schemas.microsoft.com/office/drawing/2014/main" id="{B2222DC8-79A7-4CF7-B987-CA0C4FD84A61}"/>
              </a:ext>
            </a:extLst>
          </xdr:cNvPr>
          <xdr:cNvSpPr/>
        </xdr:nvSpPr>
        <xdr:spPr>
          <a:xfrm>
            <a:off x="5004386" y="7972761"/>
            <a:ext cx="2951987" cy="454883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2400" b="0" cap="none" spc="0">
                <a:ln w="0"/>
                <a:solidFill>
                  <a:schemeClr val="bg1"/>
                </a:solidFill>
                <a:effectLst/>
                <a:latin typeface="Avenir Next LT Pro Light" panose="020B0304020202020204" pitchFamily="34" charset="0"/>
              </a:rPr>
              <a:t>ANÁLISE REGIONAL</a:t>
            </a:r>
          </a:p>
        </xdr:txBody>
      </xdr:sp>
      <xdr:pic>
        <xdr:nvPicPr>
          <xdr:cNvPr id="124" name="Brasil" hidden="1">
            <a:extLst>
              <a:ext uri="{FF2B5EF4-FFF2-40B4-BE49-F238E27FC236}">
                <a16:creationId xmlns:a16="http://schemas.microsoft.com/office/drawing/2014/main" id="{CF0C038B-6803-431A-9125-9178ADA912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36888" y="9156554"/>
            <a:ext cx="4625451" cy="4149310"/>
          </a:xfrm>
          <a:prstGeom prst="rect">
            <a:avLst/>
          </a:prstGeom>
        </xdr:spPr>
      </xdr:pic>
      <xdr:sp macro="" textlink="">
        <xdr:nvSpPr>
          <xdr:cNvPr id="98" name="Retângulo: Cantos Arredondados 97" hidden="1">
            <a:extLst>
              <a:ext uri="{FF2B5EF4-FFF2-40B4-BE49-F238E27FC236}">
                <a16:creationId xmlns:a16="http://schemas.microsoft.com/office/drawing/2014/main" id="{11BAE7FE-BF1E-47B1-8970-DDA5F43F915D}"/>
              </a:ext>
            </a:extLst>
          </xdr:cNvPr>
          <xdr:cNvSpPr/>
        </xdr:nvSpPr>
        <xdr:spPr>
          <a:xfrm>
            <a:off x="6212541" y="11654118"/>
            <a:ext cx="5647765" cy="1613647"/>
          </a:xfrm>
          <a:prstGeom prst="roundRect">
            <a:avLst>
              <a:gd name="adj" fmla="val 6536"/>
            </a:avLst>
          </a:prstGeom>
          <a:solidFill>
            <a:srgbClr val="D4FAFE">
              <a:alpha val="50196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aphicFrame macro="">
        <xdr:nvGraphicFramePr>
          <xdr:cNvPr id="99" name="Gráfico 98" hidden="1">
            <a:extLst>
              <a:ext uri="{FF2B5EF4-FFF2-40B4-BE49-F238E27FC236}">
                <a16:creationId xmlns:a16="http://schemas.microsoft.com/office/drawing/2014/main" id="{07445033-6DC5-48ED-88EC-E6E5EF071F9C}"/>
              </a:ext>
            </a:extLst>
          </xdr:cNvPr>
          <xdr:cNvGraphicFramePr>
            <a:graphicFrameLocks/>
          </xdr:cNvGraphicFramePr>
        </xdr:nvGraphicFramePr>
        <xdr:xfrm>
          <a:off x="6243021" y="11923059"/>
          <a:ext cx="5567083" cy="131601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1"/>
          </a:graphicData>
        </a:graphic>
      </xdr:graphicFrame>
      <xdr:sp macro="" textlink="">
        <xdr:nvSpPr>
          <xdr:cNvPr id="120" name="Retângulo 119" hidden="1">
            <a:extLst>
              <a:ext uri="{FF2B5EF4-FFF2-40B4-BE49-F238E27FC236}">
                <a16:creationId xmlns:a16="http://schemas.microsoft.com/office/drawing/2014/main" id="{E13AC9F7-6297-4F96-B711-E6B6A9BB64DB}"/>
              </a:ext>
            </a:extLst>
          </xdr:cNvPr>
          <xdr:cNvSpPr/>
        </xdr:nvSpPr>
        <xdr:spPr>
          <a:xfrm>
            <a:off x="7609532" y="11654118"/>
            <a:ext cx="2896626" cy="278987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200" b="0" cap="none" spc="0">
                <a:ln w="0"/>
                <a:solidFill>
                  <a:schemeClr val="accent1"/>
                </a:solidFill>
                <a:effectLst/>
                <a:latin typeface="Avenir Next LT Pro Light" panose="020B0304020202020204" pitchFamily="34" charset="0"/>
              </a:rPr>
              <a:t>EVOLUÇÃO MENSAL DE CONSULTAS</a:t>
            </a:r>
          </a:p>
        </xdr:txBody>
      </xdr:sp>
      <xdr:sp macro="" textlink="">
        <xdr:nvSpPr>
          <xdr:cNvPr id="125" name="Retângulo: Cantos Arredondados 124" hidden="1">
            <a:extLst>
              <a:ext uri="{FF2B5EF4-FFF2-40B4-BE49-F238E27FC236}">
                <a16:creationId xmlns:a16="http://schemas.microsoft.com/office/drawing/2014/main" id="{31DA5EA7-C23F-43A2-B6CD-F0743977DF17}"/>
              </a:ext>
            </a:extLst>
          </xdr:cNvPr>
          <xdr:cNvSpPr/>
        </xdr:nvSpPr>
        <xdr:spPr>
          <a:xfrm>
            <a:off x="8955741" y="9950824"/>
            <a:ext cx="2904565" cy="1613647"/>
          </a:xfrm>
          <a:prstGeom prst="roundRect">
            <a:avLst>
              <a:gd name="adj" fmla="val 6536"/>
            </a:avLst>
          </a:prstGeom>
          <a:solidFill>
            <a:srgbClr val="D4FAFE">
              <a:alpha val="50196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9" name="Retângulo 128" hidden="1">
            <a:extLst>
              <a:ext uri="{FF2B5EF4-FFF2-40B4-BE49-F238E27FC236}">
                <a16:creationId xmlns:a16="http://schemas.microsoft.com/office/drawing/2014/main" id="{0A914124-DF63-42FB-8E9F-D5C3AA0A8289}"/>
              </a:ext>
            </a:extLst>
          </xdr:cNvPr>
          <xdr:cNvSpPr/>
        </xdr:nvSpPr>
        <xdr:spPr>
          <a:xfrm>
            <a:off x="9175225" y="9958444"/>
            <a:ext cx="1992981" cy="278987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200" b="0" cap="none" spc="0">
                <a:ln w="0"/>
                <a:solidFill>
                  <a:schemeClr val="accent1"/>
                </a:solidFill>
                <a:effectLst/>
                <a:latin typeface="Avenir Next LT Pro Light" panose="020B0304020202020204" pitchFamily="34" charset="0"/>
              </a:rPr>
              <a:t>TOP 3 - ESPECIALIDADES</a:t>
            </a:r>
          </a:p>
        </xdr:txBody>
      </xdr:sp>
      <xdr:sp macro="" textlink="Dinâmicas!AR8">
        <xdr:nvSpPr>
          <xdr:cNvPr id="130" name="Retângulo: Cantos Arredondados 129" hidden="1">
            <a:extLst>
              <a:ext uri="{FF2B5EF4-FFF2-40B4-BE49-F238E27FC236}">
                <a16:creationId xmlns:a16="http://schemas.microsoft.com/office/drawing/2014/main" id="{0B668F96-6100-4E1E-A60C-824E81A943CB}"/>
              </a:ext>
            </a:extLst>
          </xdr:cNvPr>
          <xdr:cNvSpPr/>
        </xdr:nvSpPr>
        <xdr:spPr>
          <a:xfrm>
            <a:off x="1563445" y="8516471"/>
            <a:ext cx="4556311" cy="606462"/>
          </a:xfrm>
          <a:prstGeom prst="roundRect">
            <a:avLst>
              <a:gd name="adj" fmla="val 16412"/>
            </a:avLst>
          </a:prstGeom>
          <a:solidFill>
            <a:srgbClr val="D4FAFE">
              <a:alpha val="50196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9D26FAE-E138-493C-86C5-35E295DB5A3B}" type="TxLink">
              <a:rPr lang="en-US" sz="3200" b="0" i="0" u="none" strike="noStrike">
                <a:solidFill>
                  <a:schemeClr val="accent1"/>
                </a:solidFill>
                <a:latin typeface="Avenir Next LT Pro Light"/>
              </a:rPr>
              <a:pPr algn="ctr"/>
              <a:t>#N/D</a:t>
            </a:fld>
            <a:endParaRPr lang="pt-BR" sz="3200">
              <a:solidFill>
                <a:schemeClr val="accent1"/>
              </a:solidFill>
            </a:endParaRPr>
          </a:p>
        </xdr:txBody>
      </xdr:sp>
      <xdr:graphicFrame macro="">
        <xdr:nvGraphicFramePr>
          <xdr:cNvPr id="131" name="Gráfico 130" hidden="1">
            <a:extLst>
              <a:ext uri="{FF2B5EF4-FFF2-40B4-BE49-F238E27FC236}">
                <a16:creationId xmlns:a16="http://schemas.microsoft.com/office/drawing/2014/main" id="{C5174EDB-86B6-4FEE-B97C-5C9C39062517}"/>
              </a:ext>
            </a:extLst>
          </xdr:cNvPr>
          <xdr:cNvGraphicFramePr>
            <a:graphicFrameLocks/>
          </xdr:cNvGraphicFramePr>
        </xdr:nvGraphicFramePr>
        <xdr:xfrm>
          <a:off x="9009081" y="10235005"/>
          <a:ext cx="2778163" cy="126267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2"/>
          </a:graphicData>
        </a:graphic>
      </xdr:graphicFrame>
      <xdr:sp macro="" textlink="">
        <xdr:nvSpPr>
          <xdr:cNvPr id="132" name="Retângulo: Cantos Arredondados 131" hidden="1">
            <a:extLst>
              <a:ext uri="{FF2B5EF4-FFF2-40B4-BE49-F238E27FC236}">
                <a16:creationId xmlns:a16="http://schemas.microsoft.com/office/drawing/2014/main" id="{41334F0E-2800-4AA8-82F5-1013797EF266}"/>
              </a:ext>
            </a:extLst>
          </xdr:cNvPr>
          <xdr:cNvSpPr/>
        </xdr:nvSpPr>
        <xdr:spPr>
          <a:xfrm>
            <a:off x="6220161" y="9950824"/>
            <a:ext cx="2654898" cy="1613647"/>
          </a:xfrm>
          <a:prstGeom prst="roundRect">
            <a:avLst>
              <a:gd name="adj" fmla="val 6536"/>
            </a:avLst>
          </a:prstGeom>
          <a:solidFill>
            <a:srgbClr val="D4FAFE">
              <a:alpha val="50196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3" name="Retângulo: Cantos Arredondados 132" hidden="1">
            <a:extLst>
              <a:ext uri="{FF2B5EF4-FFF2-40B4-BE49-F238E27FC236}">
                <a16:creationId xmlns:a16="http://schemas.microsoft.com/office/drawing/2014/main" id="{D06A385C-B8C2-4AF1-9C3A-870F07846E11}"/>
              </a:ext>
            </a:extLst>
          </xdr:cNvPr>
          <xdr:cNvSpPr/>
        </xdr:nvSpPr>
        <xdr:spPr>
          <a:xfrm>
            <a:off x="6220161" y="8516471"/>
            <a:ext cx="1928757" cy="1344705"/>
          </a:xfrm>
          <a:prstGeom prst="roundRect">
            <a:avLst>
              <a:gd name="adj" fmla="val 6536"/>
            </a:avLst>
          </a:prstGeom>
          <a:solidFill>
            <a:srgbClr val="D4FAFE">
              <a:alpha val="50196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4" name="Retângulo: Cantos Arredondados 133" hidden="1">
            <a:extLst>
              <a:ext uri="{FF2B5EF4-FFF2-40B4-BE49-F238E27FC236}">
                <a16:creationId xmlns:a16="http://schemas.microsoft.com/office/drawing/2014/main" id="{3D6EE4CA-7747-48EC-B67D-F6E34663A451}"/>
              </a:ext>
            </a:extLst>
          </xdr:cNvPr>
          <xdr:cNvSpPr/>
        </xdr:nvSpPr>
        <xdr:spPr>
          <a:xfrm>
            <a:off x="8229600" y="8516471"/>
            <a:ext cx="1855694" cy="1344705"/>
          </a:xfrm>
          <a:prstGeom prst="roundRect">
            <a:avLst>
              <a:gd name="adj" fmla="val 6536"/>
            </a:avLst>
          </a:prstGeom>
          <a:solidFill>
            <a:srgbClr val="D4FAFE">
              <a:alpha val="50196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5" name="Retângulo 134" hidden="1">
            <a:extLst>
              <a:ext uri="{FF2B5EF4-FFF2-40B4-BE49-F238E27FC236}">
                <a16:creationId xmlns:a16="http://schemas.microsoft.com/office/drawing/2014/main" id="{DCC36352-CB8C-4F08-9361-4619656809C9}"/>
              </a:ext>
            </a:extLst>
          </xdr:cNvPr>
          <xdr:cNvSpPr/>
        </xdr:nvSpPr>
        <xdr:spPr>
          <a:xfrm>
            <a:off x="6220392" y="8524091"/>
            <a:ext cx="2002088" cy="278987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200" b="0" cap="none" spc="0">
                <a:ln w="0"/>
                <a:solidFill>
                  <a:schemeClr val="accent1"/>
                </a:solidFill>
                <a:effectLst/>
                <a:latin typeface="Avenir Next LT Pro Light" panose="020B0304020202020204" pitchFamily="34" charset="0"/>
              </a:rPr>
              <a:t>CONSULTAS</a:t>
            </a:r>
            <a:r>
              <a:rPr lang="pt-BR" sz="1200" b="0" cap="none" spc="0" baseline="0">
                <a:ln w="0"/>
                <a:solidFill>
                  <a:schemeClr val="accent1"/>
                </a:solidFill>
                <a:effectLst/>
                <a:latin typeface="Avenir Next LT Pro Light" panose="020B0304020202020204" pitchFamily="34" charset="0"/>
              </a:rPr>
              <a:t> MARCADAS</a:t>
            </a:r>
            <a:endParaRPr lang="pt-BR" sz="1200" b="0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</a:endParaRPr>
          </a:p>
        </xdr:txBody>
      </xdr:sp>
      <xdr:sp macro="" textlink="">
        <xdr:nvSpPr>
          <xdr:cNvPr id="136" name="Retângulo 135" hidden="1">
            <a:extLst>
              <a:ext uri="{FF2B5EF4-FFF2-40B4-BE49-F238E27FC236}">
                <a16:creationId xmlns:a16="http://schemas.microsoft.com/office/drawing/2014/main" id="{F2F55003-06CA-4BCA-A464-4263AEECFF4B}"/>
              </a:ext>
            </a:extLst>
          </xdr:cNvPr>
          <xdr:cNvSpPr/>
        </xdr:nvSpPr>
        <xdr:spPr>
          <a:xfrm>
            <a:off x="7238531" y="9330914"/>
            <a:ext cx="667747" cy="434478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100" b="0" cap="none" spc="0">
                <a:ln w="0"/>
                <a:solidFill>
                  <a:schemeClr val="accent1"/>
                </a:solidFill>
                <a:effectLst/>
                <a:latin typeface="Avenir Next LT Pro Light" panose="020B0304020202020204" pitchFamily="34" charset="0"/>
              </a:rPr>
              <a:t>% DO</a:t>
            </a:r>
          </a:p>
          <a:p>
            <a:pPr algn="ctr"/>
            <a:r>
              <a:rPr lang="pt-BR" sz="1100" b="0" cap="none" spc="0" baseline="0">
                <a:ln w="0"/>
                <a:solidFill>
                  <a:schemeClr val="accent1"/>
                </a:solidFill>
                <a:effectLst/>
                <a:latin typeface="Avenir Next LT Pro Light" panose="020B0304020202020204" pitchFamily="34" charset="0"/>
              </a:rPr>
              <a:t> TOTAL</a:t>
            </a:r>
            <a:endParaRPr lang="pt-BR" sz="1100" b="0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</a:endParaRPr>
          </a:p>
        </xdr:txBody>
      </xdr:sp>
      <xdr:sp macro="" textlink="Dinâmicas!AT9">
        <xdr:nvSpPr>
          <xdr:cNvPr id="137" name="Retângulo 136" hidden="1">
            <a:extLst>
              <a:ext uri="{FF2B5EF4-FFF2-40B4-BE49-F238E27FC236}">
                <a16:creationId xmlns:a16="http://schemas.microsoft.com/office/drawing/2014/main" id="{7A09A932-934A-465B-87A5-2807DFD477E9}"/>
              </a:ext>
            </a:extLst>
          </xdr:cNvPr>
          <xdr:cNvSpPr/>
        </xdr:nvSpPr>
        <xdr:spPr>
          <a:xfrm>
            <a:off x="6462208" y="8689938"/>
            <a:ext cx="1470660" cy="714491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959D9D38-7972-4459-BAA2-44ACCBE85DC4}" type="TxLink">
              <a:rPr lang="en-US" sz="4000" b="0" i="0" u="none" strike="noStrike" cap="none" spc="0">
                <a:ln w="0"/>
                <a:solidFill>
                  <a:schemeClr val="accent1"/>
                </a:solidFill>
                <a:effectLst/>
                <a:latin typeface="Avenir Next LT Pro Light" panose="020B0304020202020204" pitchFamily="34" charset="0"/>
                <a:cs typeface="Calibri"/>
              </a:rPr>
              <a:pPr algn="ctr"/>
              <a:t>2</a:t>
            </a:fld>
            <a:endParaRPr lang="pt-BR" sz="4400" b="0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</a:endParaRPr>
          </a:p>
        </xdr:txBody>
      </xdr:sp>
      <xdr:sp macro="" textlink="Dinâmicas!AW9">
        <xdr:nvSpPr>
          <xdr:cNvPr id="138" name="Retângulo 137" hidden="1">
            <a:extLst>
              <a:ext uri="{FF2B5EF4-FFF2-40B4-BE49-F238E27FC236}">
                <a16:creationId xmlns:a16="http://schemas.microsoft.com/office/drawing/2014/main" id="{DE8D30AE-7FEE-4630-9E90-072C38427B54}"/>
              </a:ext>
            </a:extLst>
          </xdr:cNvPr>
          <xdr:cNvSpPr/>
        </xdr:nvSpPr>
        <xdr:spPr>
          <a:xfrm>
            <a:off x="6373906" y="9302227"/>
            <a:ext cx="1028700" cy="527837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marL="0" indent="0" algn="ctr"/>
            <a:fld id="{D3672715-F019-48D1-9B4D-F2F5038D5247}" type="TxLink">
              <a:rPr lang="en-US" sz="2800" b="0" i="0" u="none" strike="noStrike" cap="none" spc="0">
                <a:ln w="0"/>
                <a:solidFill>
                  <a:schemeClr val="accent1"/>
                </a:solidFill>
                <a:effectLst/>
                <a:latin typeface="Avenir Next LT Pro Light" panose="020B0304020202020204" pitchFamily="34" charset="0"/>
                <a:ea typeface="+mn-ea"/>
                <a:cs typeface="Calibri"/>
              </a:rPr>
              <a:pPr marL="0" indent="0" algn="ctr"/>
              <a:t>100%</a:t>
            </a:fld>
            <a:endParaRPr lang="pt-BR" sz="2800" b="0" i="0" u="none" strike="noStrike" cap="none" spc="0">
              <a:ln w="0"/>
              <a:solidFill>
                <a:schemeClr val="accent1"/>
              </a:solidFill>
              <a:effectLst/>
              <a:latin typeface="Avenir Next LT Pro Light" panose="020B0304020202020204" pitchFamily="34" charset="0"/>
              <a:ea typeface="+mn-ea"/>
              <a:cs typeface="Calibri"/>
            </a:endParaRPr>
          </a:p>
        </xdr:txBody>
      </xdr:sp>
      <xdr:sp macro="" textlink="">
        <xdr:nvSpPr>
          <xdr:cNvPr id="139" name="Retângulo 138" hidden="1">
            <a:extLst>
              <a:ext uri="{FF2B5EF4-FFF2-40B4-BE49-F238E27FC236}">
                <a16:creationId xmlns:a16="http://schemas.microsoft.com/office/drawing/2014/main" id="{5ADCB562-B6AA-4400-AAD4-28E23A7321EA}"/>
              </a:ext>
            </a:extLst>
          </xdr:cNvPr>
          <xdr:cNvSpPr/>
        </xdr:nvSpPr>
        <xdr:spPr>
          <a:xfrm>
            <a:off x="8338093" y="8524091"/>
            <a:ext cx="1657377" cy="278987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200" b="0" cap="none" spc="0">
                <a:ln w="0"/>
                <a:solidFill>
                  <a:schemeClr val="accent1"/>
                </a:solidFill>
                <a:effectLst/>
                <a:latin typeface="Avenir Next LT Pro Light" panose="020B0304020202020204" pitchFamily="34" charset="0"/>
              </a:rPr>
              <a:t>COMPARECIMENTO</a:t>
            </a:r>
          </a:p>
        </xdr:txBody>
      </xdr:sp>
      <xdr:sp macro="" textlink="">
        <xdr:nvSpPr>
          <xdr:cNvPr id="140" name="Retângulo: Cantos Arredondados 139" hidden="1">
            <a:extLst>
              <a:ext uri="{FF2B5EF4-FFF2-40B4-BE49-F238E27FC236}">
                <a16:creationId xmlns:a16="http://schemas.microsoft.com/office/drawing/2014/main" id="{D6523273-B26A-4033-8098-02FD3A1952E0}"/>
              </a:ext>
            </a:extLst>
          </xdr:cNvPr>
          <xdr:cNvSpPr/>
        </xdr:nvSpPr>
        <xdr:spPr>
          <a:xfrm>
            <a:off x="10173596" y="8516471"/>
            <a:ext cx="1686710" cy="1344705"/>
          </a:xfrm>
          <a:prstGeom prst="roundRect">
            <a:avLst>
              <a:gd name="adj" fmla="val 6536"/>
            </a:avLst>
          </a:prstGeom>
          <a:solidFill>
            <a:srgbClr val="D4FAFE">
              <a:alpha val="50196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1" name="Retângulo 140" hidden="1">
            <a:extLst>
              <a:ext uri="{FF2B5EF4-FFF2-40B4-BE49-F238E27FC236}">
                <a16:creationId xmlns:a16="http://schemas.microsoft.com/office/drawing/2014/main" id="{ED2A28F6-A93F-4195-87FE-D78F9F9A75A0}"/>
              </a:ext>
            </a:extLst>
          </xdr:cNvPr>
          <xdr:cNvSpPr/>
        </xdr:nvSpPr>
        <xdr:spPr>
          <a:xfrm>
            <a:off x="10576207" y="8524091"/>
            <a:ext cx="876394" cy="278987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200" b="0" cap="none" spc="0">
                <a:ln w="0"/>
                <a:solidFill>
                  <a:schemeClr val="accent1"/>
                </a:solidFill>
                <a:effectLst/>
                <a:latin typeface="Avenir Next LT Pro Light" panose="020B0304020202020204" pitchFamily="34" charset="0"/>
              </a:rPr>
              <a:t>PERÍODO</a:t>
            </a:r>
          </a:p>
        </xdr:txBody>
      </xdr:sp>
      <xdr:sp macro="" textlink="">
        <xdr:nvSpPr>
          <xdr:cNvPr id="142" name="Retângulo 141" hidden="1">
            <a:extLst>
              <a:ext uri="{FF2B5EF4-FFF2-40B4-BE49-F238E27FC236}">
                <a16:creationId xmlns:a16="http://schemas.microsoft.com/office/drawing/2014/main" id="{B0601BB6-7DB9-459D-BE09-1C909571987F}"/>
              </a:ext>
            </a:extLst>
          </xdr:cNvPr>
          <xdr:cNvSpPr/>
        </xdr:nvSpPr>
        <xdr:spPr>
          <a:xfrm>
            <a:off x="7149687" y="9966064"/>
            <a:ext cx="805991" cy="278987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200" b="0" cap="none" spc="0">
                <a:ln w="0"/>
                <a:solidFill>
                  <a:schemeClr val="accent1"/>
                </a:solidFill>
                <a:effectLst/>
                <a:latin typeface="Avenir Next LT Pro Light" panose="020B0304020202020204" pitchFamily="34" charset="0"/>
              </a:rPr>
              <a:t>MOTIVO</a:t>
            </a:r>
          </a:p>
        </xdr:txBody>
      </xdr:sp>
      <xdr:graphicFrame macro="">
        <xdr:nvGraphicFramePr>
          <xdr:cNvPr id="143" name="Gráfico 142" hidden="1">
            <a:extLst>
              <a:ext uri="{FF2B5EF4-FFF2-40B4-BE49-F238E27FC236}">
                <a16:creationId xmlns:a16="http://schemas.microsoft.com/office/drawing/2014/main" id="{7170DA2C-6F11-49D4-9847-A01BBEA6083E}"/>
              </a:ext>
            </a:extLst>
          </xdr:cNvPr>
          <xdr:cNvGraphicFramePr>
            <a:graphicFrameLocks/>
          </xdr:cNvGraphicFramePr>
        </xdr:nvGraphicFramePr>
        <xdr:xfrm>
          <a:off x="8290560" y="8793032"/>
          <a:ext cx="1729292" cy="101659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3"/>
          </a:graphicData>
        </a:graphic>
      </xdr:graphicFrame>
      <xdr:graphicFrame macro="">
        <xdr:nvGraphicFramePr>
          <xdr:cNvPr id="144" name="Gráfico 143" hidden="1">
            <a:extLst>
              <a:ext uri="{FF2B5EF4-FFF2-40B4-BE49-F238E27FC236}">
                <a16:creationId xmlns:a16="http://schemas.microsoft.com/office/drawing/2014/main" id="{30CEBF3D-1659-4B9E-AB7D-1DFDAF353051}"/>
              </a:ext>
            </a:extLst>
          </xdr:cNvPr>
          <xdr:cNvGraphicFramePr>
            <a:graphicFrameLocks/>
          </xdr:cNvGraphicFramePr>
        </xdr:nvGraphicFramePr>
        <xdr:xfrm>
          <a:off x="10211696" y="8756725"/>
          <a:ext cx="1598408" cy="10567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4"/>
          </a:graphicData>
        </a:graphic>
      </xdr:graphicFrame>
      <xdr:graphicFrame macro="">
        <xdr:nvGraphicFramePr>
          <xdr:cNvPr id="145" name="Gráfico 144" hidden="1">
            <a:extLst>
              <a:ext uri="{FF2B5EF4-FFF2-40B4-BE49-F238E27FC236}">
                <a16:creationId xmlns:a16="http://schemas.microsoft.com/office/drawing/2014/main" id="{814615E5-91F4-4E95-89D2-A12C76F49262}"/>
              </a:ext>
            </a:extLst>
          </xdr:cNvPr>
          <xdr:cNvGraphicFramePr>
            <a:graphicFrameLocks/>
          </xdr:cNvGraphicFramePr>
        </xdr:nvGraphicFramePr>
        <xdr:xfrm>
          <a:off x="6258261" y="10219765"/>
          <a:ext cx="2574215" cy="12893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5"/>
          </a:graphicData>
        </a:graphic>
      </xdr:graphicFrame>
      <xdr:graphicFrame macro="">
        <xdr:nvGraphicFramePr>
          <xdr:cNvPr id="146" name="Gráfico 145" hidden="1">
            <a:extLst>
              <a:ext uri="{FF2B5EF4-FFF2-40B4-BE49-F238E27FC236}">
                <a16:creationId xmlns:a16="http://schemas.microsoft.com/office/drawing/2014/main" id="{BB61C0E1-347C-4515-9144-7702FCCEC8E7}"/>
              </a:ext>
            </a:extLst>
          </xdr:cNvPr>
          <xdr:cNvGraphicFramePr>
            <a:graphicFrameLocks/>
          </xdr:cNvGraphicFramePr>
        </xdr:nvGraphicFramePr>
        <xdr:xfrm>
          <a:off x="3476961" y="11564471"/>
          <a:ext cx="1444663" cy="105469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6"/>
          </a:graphicData>
        </a:graphic>
      </xdr:graphicFrame>
      <xdr:graphicFrame macro="">
        <xdr:nvGraphicFramePr>
          <xdr:cNvPr id="147" name="Gráfico 146" hidden="1">
            <a:extLst>
              <a:ext uri="{FF2B5EF4-FFF2-40B4-BE49-F238E27FC236}">
                <a16:creationId xmlns:a16="http://schemas.microsoft.com/office/drawing/2014/main" id="{E6FFBE64-03FF-422F-A43B-D28FD214C83C}"/>
              </a:ext>
            </a:extLst>
          </xdr:cNvPr>
          <xdr:cNvGraphicFramePr>
            <a:graphicFrameLocks/>
          </xdr:cNvGraphicFramePr>
        </xdr:nvGraphicFramePr>
        <xdr:xfrm>
          <a:off x="3706906" y="11057068"/>
          <a:ext cx="1606027" cy="13083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7"/>
          </a:graphicData>
        </a:graphic>
      </xdr:graphicFrame>
      <xdr:graphicFrame macro="">
        <xdr:nvGraphicFramePr>
          <xdr:cNvPr id="148" name="Gráfico 147" hidden="1">
            <a:extLst>
              <a:ext uri="{FF2B5EF4-FFF2-40B4-BE49-F238E27FC236}">
                <a16:creationId xmlns:a16="http://schemas.microsoft.com/office/drawing/2014/main" id="{C0AFEC60-35C9-414A-B58C-7CF54CDA434D}"/>
              </a:ext>
            </a:extLst>
          </xdr:cNvPr>
          <xdr:cNvGraphicFramePr>
            <a:graphicFrameLocks/>
          </xdr:cNvGraphicFramePr>
        </xdr:nvGraphicFramePr>
        <xdr:xfrm>
          <a:off x="3096409" y="12378914"/>
          <a:ext cx="1202616" cy="10623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8"/>
          </a:graphicData>
        </a:graphic>
      </xdr:graphicFrame>
      <xdr:graphicFrame macro="">
        <xdr:nvGraphicFramePr>
          <xdr:cNvPr id="149" name="Gráfico 148" hidden="1">
            <a:extLst>
              <a:ext uri="{FF2B5EF4-FFF2-40B4-BE49-F238E27FC236}">
                <a16:creationId xmlns:a16="http://schemas.microsoft.com/office/drawing/2014/main" id="{06D56BA7-2B19-4DE3-A98C-713B128F449D}"/>
              </a:ext>
            </a:extLst>
          </xdr:cNvPr>
          <xdr:cNvGraphicFramePr>
            <a:graphicFrameLocks/>
          </xdr:cNvGraphicFramePr>
        </xdr:nvGraphicFramePr>
        <xdr:xfrm>
          <a:off x="4967344" y="10444779"/>
          <a:ext cx="814443" cy="5894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9"/>
          </a:graphicData>
        </a:graphic>
      </xdr:graphicFrame>
      <xdr:graphicFrame macro="">
        <xdr:nvGraphicFramePr>
          <xdr:cNvPr id="150" name="Gráfico 149" hidden="1">
            <a:extLst>
              <a:ext uri="{FF2B5EF4-FFF2-40B4-BE49-F238E27FC236}">
                <a16:creationId xmlns:a16="http://schemas.microsoft.com/office/drawing/2014/main" id="{E22227B8-BD90-4093-A7C0-5E66F28FAF78}"/>
              </a:ext>
            </a:extLst>
          </xdr:cNvPr>
          <xdr:cNvGraphicFramePr>
            <a:graphicFrameLocks/>
          </xdr:cNvGraphicFramePr>
        </xdr:nvGraphicFramePr>
        <xdr:xfrm>
          <a:off x="1467522" y="9256507"/>
          <a:ext cx="2201284" cy="17490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0"/>
          </a:graphicData>
        </a:graphic>
      </xdr:graphicFrame>
      <xdr:graphicFrame macro="">
        <xdr:nvGraphicFramePr>
          <xdr:cNvPr id="151" name="Gráfico 150" hidden="1">
            <a:extLst>
              <a:ext uri="{FF2B5EF4-FFF2-40B4-BE49-F238E27FC236}">
                <a16:creationId xmlns:a16="http://schemas.microsoft.com/office/drawing/2014/main" id="{F6471BF4-446E-4D24-9092-C3226D97160F}"/>
              </a:ext>
            </a:extLst>
          </xdr:cNvPr>
          <xdr:cNvGraphicFramePr>
            <a:graphicFrameLocks/>
          </xdr:cNvGraphicFramePr>
        </xdr:nvGraphicFramePr>
        <xdr:xfrm>
          <a:off x="3303494" y="9033286"/>
          <a:ext cx="1068593" cy="10795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1"/>
          </a:graphicData>
        </a:graphic>
      </xdr:graphicFrame>
      <xdr:graphicFrame macro="">
        <xdr:nvGraphicFramePr>
          <xdr:cNvPr id="152" name="Gráfico 151" hidden="1">
            <a:extLst>
              <a:ext uri="{FF2B5EF4-FFF2-40B4-BE49-F238E27FC236}">
                <a16:creationId xmlns:a16="http://schemas.microsoft.com/office/drawing/2014/main" id="{B077FA8D-EE29-407F-95B2-5BB1C525C8DB}"/>
              </a:ext>
            </a:extLst>
          </xdr:cNvPr>
          <xdr:cNvGraphicFramePr>
            <a:graphicFrameLocks/>
          </xdr:cNvGraphicFramePr>
        </xdr:nvGraphicFramePr>
        <xdr:xfrm>
          <a:off x="4160520" y="10429539"/>
          <a:ext cx="1386840" cy="14876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2"/>
          </a:graphicData>
        </a:graphic>
      </xdr:graphicFrame>
      <xdr:graphicFrame macro="">
        <xdr:nvGraphicFramePr>
          <xdr:cNvPr id="153" name="Gráfico 152" hidden="1">
            <a:extLst>
              <a:ext uri="{FF2B5EF4-FFF2-40B4-BE49-F238E27FC236}">
                <a16:creationId xmlns:a16="http://schemas.microsoft.com/office/drawing/2014/main" id="{A2404FD6-CAD0-4553-A7C9-7EAAC0C7DB44}"/>
              </a:ext>
            </a:extLst>
          </xdr:cNvPr>
          <xdr:cNvGraphicFramePr>
            <a:graphicFrameLocks/>
          </xdr:cNvGraphicFramePr>
        </xdr:nvGraphicFramePr>
        <xdr:xfrm>
          <a:off x="4644614" y="9786769"/>
          <a:ext cx="902746" cy="9861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3"/>
          </a:graphicData>
        </a:graphic>
      </xdr:graphicFrame>
      <xdr:graphicFrame macro="">
        <xdr:nvGraphicFramePr>
          <xdr:cNvPr id="154" name="Gráfico 153" hidden="1">
            <a:extLst>
              <a:ext uri="{FF2B5EF4-FFF2-40B4-BE49-F238E27FC236}">
                <a16:creationId xmlns:a16="http://schemas.microsoft.com/office/drawing/2014/main" id="{9B2FE9BD-939C-43E8-9B9A-CA583C623F26}"/>
              </a:ext>
            </a:extLst>
          </xdr:cNvPr>
          <xdr:cNvGraphicFramePr>
            <a:graphicFrameLocks/>
          </xdr:cNvGraphicFramePr>
        </xdr:nvGraphicFramePr>
        <xdr:xfrm>
          <a:off x="3910853" y="11087548"/>
          <a:ext cx="710901" cy="61229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graphicFrame macro="">
        <xdr:nvGraphicFramePr>
          <xdr:cNvPr id="155" name="Gráfico 154" hidden="1">
            <a:extLst>
              <a:ext uri="{FF2B5EF4-FFF2-40B4-BE49-F238E27FC236}">
                <a16:creationId xmlns:a16="http://schemas.microsoft.com/office/drawing/2014/main" id="{B42049DC-697D-4A49-BC62-31DA47583821}"/>
              </a:ext>
            </a:extLst>
          </xdr:cNvPr>
          <xdr:cNvGraphicFramePr>
            <a:graphicFrameLocks/>
          </xdr:cNvGraphicFramePr>
        </xdr:nvGraphicFramePr>
        <xdr:xfrm>
          <a:off x="4598894" y="11364109"/>
          <a:ext cx="749001" cy="87361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156" name="Gráfico 155" hidden="1">
            <a:extLst>
              <a:ext uri="{FF2B5EF4-FFF2-40B4-BE49-F238E27FC236}">
                <a16:creationId xmlns:a16="http://schemas.microsoft.com/office/drawing/2014/main" id="{B0FC17A8-2735-4893-A467-147D485C5B82}"/>
              </a:ext>
            </a:extLst>
          </xdr:cNvPr>
          <xdr:cNvGraphicFramePr>
            <a:graphicFrameLocks/>
          </xdr:cNvGraphicFramePr>
        </xdr:nvGraphicFramePr>
        <xdr:xfrm>
          <a:off x="3484581" y="10772887"/>
          <a:ext cx="1217855" cy="12263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157" name="Gráfico 156" hidden="1">
            <a:extLst>
              <a:ext uri="{FF2B5EF4-FFF2-40B4-BE49-F238E27FC236}">
                <a16:creationId xmlns:a16="http://schemas.microsoft.com/office/drawing/2014/main" id="{8F889CC0-5A76-481A-9EA6-7CA697EAA14E}"/>
              </a:ext>
            </a:extLst>
          </xdr:cNvPr>
          <xdr:cNvGraphicFramePr>
            <a:graphicFrameLocks/>
          </xdr:cNvGraphicFramePr>
        </xdr:nvGraphicFramePr>
        <xdr:xfrm>
          <a:off x="3948953" y="9615095"/>
          <a:ext cx="1187375" cy="142673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graphicFrame macro="">
        <xdr:nvGraphicFramePr>
          <xdr:cNvPr id="158" name="Gráfico 157" hidden="1">
            <a:extLst>
              <a:ext uri="{FF2B5EF4-FFF2-40B4-BE49-F238E27FC236}">
                <a16:creationId xmlns:a16="http://schemas.microsoft.com/office/drawing/2014/main" id="{DB9598E4-F142-46DA-907F-B3762D377A37}"/>
              </a:ext>
            </a:extLst>
          </xdr:cNvPr>
          <xdr:cNvGraphicFramePr>
            <a:graphicFrameLocks/>
          </xdr:cNvGraphicFramePr>
        </xdr:nvGraphicFramePr>
        <xdr:xfrm>
          <a:off x="2919805" y="11295529"/>
          <a:ext cx="1313777" cy="11806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8"/>
          </a:graphicData>
        </a:graphic>
      </xdr:graphicFrame>
      <xdr:graphicFrame macro="">
        <xdr:nvGraphicFramePr>
          <xdr:cNvPr id="159" name="Gráfico 158" hidden="1">
            <a:extLst>
              <a:ext uri="{FF2B5EF4-FFF2-40B4-BE49-F238E27FC236}">
                <a16:creationId xmlns:a16="http://schemas.microsoft.com/office/drawing/2014/main" id="{1B2673ED-2B44-41B8-8369-239E4CB836C3}"/>
              </a:ext>
            </a:extLst>
          </xdr:cNvPr>
          <xdr:cNvGraphicFramePr>
            <a:graphicFrameLocks/>
          </xdr:cNvGraphicFramePr>
        </xdr:nvGraphicFramePr>
        <xdr:xfrm>
          <a:off x="2612315" y="10280725"/>
          <a:ext cx="1663850" cy="16423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9"/>
          </a:graphicData>
        </a:graphic>
      </xdr:graphicFrame>
      <xdr:graphicFrame macro="">
        <xdr:nvGraphicFramePr>
          <xdr:cNvPr id="160" name="Gráfico 159" hidden="1">
            <a:extLst>
              <a:ext uri="{FF2B5EF4-FFF2-40B4-BE49-F238E27FC236}">
                <a16:creationId xmlns:a16="http://schemas.microsoft.com/office/drawing/2014/main" id="{964746AA-A833-46AC-AB49-2A12D69F587D}"/>
              </a:ext>
            </a:extLst>
          </xdr:cNvPr>
          <xdr:cNvGraphicFramePr>
            <a:graphicFrameLocks/>
          </xdr:cNvGraphicFramePr>
        </xdr:nvGraphicFramePr>
        <xdr:xfrm>
          <a:off x="2892462" y="9264127"/>
          <a:ext cx="1867797" cy="18158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0"/>
          </a:graphicData>
        </a:graphic>
      </xdr:graphicFrame>
      <xdr:graphicFrame macro="">
        <xdr:nvGraphicFramePr>
          <xdr:cNvPr id="161" name="Gráfico 160" hidden="1">
            <a:extLst>
              <a:ext uri="{FF2B5EF4-FFF2-40B4-BE49-F238E27FC236}">
                <a16:creationId xmlns:a16="http://schemas.microsoft.com/office/drawing/2014/main" id="{830C8081-CE63-4708-973A-8A7ACA35D1F1}"/>
              </a:ext>
            </a:extLst>
          </xdr:cNvPr>
          <xdr:cNvGraphicFramePr>
            <a:graphicFrameLocks/>
          </xdr:cNvGraphicFramePr>
        </xdr:nvGraphicFramePr>
        <xdr:xfrm>
          <a:off x="4967344" y="10206318"/>
          <a:ext cx="791583" cy="54550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1"/>
          </a:graphicData>
        </a:graphic>
      </xdr:graphicFrame>
      <xdr:graphicFrame macro="">
        <xdr:nvGraphicFramePr>
          <xdr:cNvPr id="162" name="Gráfico 161" hidden="1">
            <a:extLst>
              <a:ext uri="{FF2B5EF4-FFF2-40B4-BE49-F238E27FC236}">
                <a16:creationId xmlns:a16="http://schemas.microsoft.com/office/drawing/2014/main" id="{8613418B-C58F-42B3-AFF5-FE72E1219706}"/>
              </a:ext>
            </a:extLst>
          </xdr:cNvPr>
          <xdr:cNvGraphicFramePr>
            <a:graphicFrameLocks/>
          </xdr:cNvGraphicFramePr>
        </xdr:nvGraphicFramePr>
        <xdr:xfrm>
          <a:off x="4732916" y="10295965"/>
          <a:ext cx="1041251" cy="61990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2"/>
          </a:graphicData>
        </a:graphic>
      </xdr:graphicFrame>
      <xdr:graphicFrame macro="">
        <xdr:nvGraphicFramePr>
          <xdr:cNvPr id="163" name="Gráfico 162" hidden="1">
            <a:extLst>
              <a:ext uri="{FF2B5EF4-FFF2-40B4-BE49-F238E27FC236}">
                <a16:creationId xmlns:a16="http://schemas.microsoft.com/office/drawing/2014/main" id="{977346C8-1BAF-4F59-9019-5638DD20CD58}"/>
              </a:ext>
            </a:extLst>
          </xdr:cNvPr>
          <xdr:cNvGraphicFramePr>
            <a:graphicFrameLocks/>
          </xdr:cNvGraphicFramePr>
        </xdr:nvGraphicFramePr>
        <xdr:xfrm>
          <a:off x="3353696" y="11833412"/>
          <a:ext cx="1160033" cy="9345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3"/>
          </a:graphicData>
        </a:graphic>
      </xdr:graphicFrame>
      <xdr:graphicFrame macro="">
        <xdr:nvGraphicFramePr>
          <xdr:cNvPr id="164" name="Gráfico 163" hidden="1">
            <a:extLst>
              <a:ext uri="{FF2B5EF4-FFF2-40B4-BE49-F238E27FC236}">
                <a16:creationId xmlns:a16="http://schemas.microsoft.com/office/drawing/2014/main" id="{C3372020-A106-488C-ADBB-D9158818A1E1}"/>
              </a:ext>
            </a:extLst>
          </xdr:cNvPr>
          <xdr:cNvGraphicFramePr>
            <a:graphicFrameLocks/>
          </xdr:cNvGraphicFramePr>
        </xdr:nvGraphicFramePr>
        <xdr:xfrm>
          <a:off x="4299025" y="11707458"/>
          <a:ext cx="902746" cy="6943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4"/>
          </a:graphicData>
        </a:graphic>
      </xdr:graphicFrame>
      <xdr:graphicFrame macro="">
        <xdr:nvGraphicFramePr>
          <xdr:cNvPr id="165" name="Gráfico 164" hidden="1">
            <a:extLst>
              <a:ext uri="{FF2B5EF4-FFF2-40B4-BE49-F238E27FC236}">
                <a16:creationId xmlns:a16="http://schemas.microsoft.com/office/drawing/2014/main" id="{345D7233-4F17-4494-8E59-7A3AF54B6D71}"/>
              </a:ext>
            </a:extLst>
          </xdr:cNvPr>
          <xdr:cNvGraphicFramePr>
            <a:graphicFrameLocks/>
          </xdr:cNvGraphicFramePr>
        </xdr:nvGraphicFramePr>
        <xdr:xfrm>
          <a:off x="4952104" y="10019404"/>
          <a:ext cx="837303" cy="61990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5"/>
          </a:graphicData>
        </a:graphic>
      </xdr:graphicFrame>
      <xdr:graphicFrame macro="">
        <xdr:nvGraphicFramePr>
          <xdr:cNvPr id="166" name="Gráfico 165" hidden="1">
            <a:extLst>
              <a:ext uri="{FF2B5EF4-FFF2-40B4-BE49-F238E27FC236}">
                <a16:creationId xmlns:a16="http://schemas.microsoft.com/office/drawing/2014/main" id="{8AE0AB49-759A-4623-A760-4FCDAADA81E2}"/>
              </a:ext>
            </a:extLst>
          </xdr:cNvPr>
          <xdr:cNvGraphicFramePr>
            <a:graphicFrameLocks/>
          </xdr:cNvGraphicFramePr>
        </xdr:nvGraphicFramePr>
        <xdr:xfrm>
          <a:off x="2105361" y="10370372"/>
          <a:ext cx="1283298" cy="108338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6"/>
          </a:graphicData>
        </a:graphic>
      </xdr:graphicFrame>
      <xdr:graphicFrame macro="">
        <xdr:nvGraphicFramePr>
          <xdr:cNvPr id="167" name="Gráfico 166" hidden="1">
            <a:extLst>
              <a:ext uri="{FF2B5EF4-FFF2-40B4-BE49-F238E27FC236}">
                <a16:creationId xmlns:a16="http://schemas.microsoft.com/office/drawing/2014/main" id="{7261498A-6888-420F-9F7C-1FE97410BC96}"/>
              </a:ext>
            </a:extLst>
          </xdr:cNvPr>
          <xdr:cNvGraphicFramePr>
            <a:graphicFrameLocks/>
          </xdr:cNvGraphicFramePr>
        </xdr:nvGraphicFramePr>
        <xdr:xfrm>
          <a:off x="3411519" y="12178553"/>
          <a:ext cx="1048870" cy="8583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7"/>
          </a:graphicData>
        </a:graphic>
      </xdr:graphicFrame>
      <xdr:graphicFrame macro="">
        <xdr:nvGraphicFramePr>
          <xdr:cNvPr id="168" name="Gráfico 167" hidden="1">
            <a:extLst>
              <a:ext uri="{FF2B5EF4-FFF2-40B4-BE49-F238E27FC236}">
                <a16:creationId xmlns:a16="http://schemas.microsoft.com/office/drawing/2014/main" id="{092492DD-2EBD-4491-8BF0-347C20912968}"/>
              </a:ext>
            </a:extLst>
          </xdr:cNvPr>
          <xdr:cNvGraphicFramePr>
            <a:graphicFrameLocks/>
          </xdr:cNvGraphicFramePr>
        </xdr:nvGraphicFramePr>
        <xdr:xfrm>
          <a:off x="4952104" y="10503946"/>
          <a:ext cx="806823" cy="6656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8"/>
          </a:graphicData>
        </a:graphic>
      </xdr:graphicFrame>
    </xdr:grpSp>
    <xdr:clientData/>
  </xdr:twoCellAnchor>
  <xdr:twoCellAnchor editAs="oneCell">
    <xdr:from>
      <xdr:col>0</xdr:col>
      <xdr:colOff>53340</xdr:colOff>
      <xdr:row>0</xdr:row>
      <xdr:rowOff>38100</xdr:rowOff>
    </xdr:from>
    <xdr:to>
      <xdr:col>23</xdr:col>
      <xdr:colOff>68580</xdr:colOff>
      <xdr:row>5</xdr:row>
      <xdr:rowOff>45720</xdr:rowOff>
    </xdr:to>
    <xdr:pic>
      <xdr:nvPicPr>
        <xdr:cNvPr id="169" name="Imagem 168">
          <a:extLst>
            <a:ext uri="{FF2B5EF4-FFF2-40B4-BE49-F238E27FC236}">
              <a16:creationId xmlns:a16="http://schemas.microsoft.com/office/drawing/2014/main" id="{72A62BAA-1A07-4B0D-B903-E06C7FC849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" y="38100"/>
          <a:ext cx="1943100" cy="46482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45720</xdr:colOff>
      <xdr:row>0</xdr:row>
      <xdr:rowOff>30480</xdr:rowOff>
    </xdr:from>
    <xdr:to>
      <xdr:col>3</xdr:col>
      <xdr:colOff>579120</xdr:colOff>
      <xdr:row>0</xdr:row>
      <xdr:rowOff>403860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0231FB2-F7E9-4751-9A78-C2469431B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" y="30480"/>
          <a:ext cx="1905000" cy="37338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iscila.vilardi" refreshedDate="45945.460057870368" createdVersion="6" refreshedVersion="7" minRefreshableVersion="3" recordCount="744" xr:uid="{1F97610A-2D3B-42C1-A68D-E6C0ECA4A32F}">
  <cacheSource type="worksheet">
    <worksheetSource name="Base"/>
  </cacheSource>
  <cacheFields count="11">
    <cacheField name="Código Prontuário" numFmtId="0">
      <sharedItems containsNonDate="0" containsString="0" containsBlank="1"/>
    </cacheField>
    <cacheField name="Idade" numFmtId="0">
      <sharedItems containsString="0" containsBlank="1" containsNumber="1" containsInteger="1" minValue="30" maxValue="42"/>
    </cacheField>
    <cacheField name="Sexo" numFmtId="0">
      <sharedItems containsBlank="1"/>
    </cacheField>
    <cacheField name="Data da consulta" numFmtId="14">
      <sharedItems containsNonDate="0" containsDate="1" containsString="0" containsBlank="1" minDate="2025-10-14T00:00:00" maxDate="2025-10-16T00:00:00"/>
    </cacheField>
    <cacheField name="Mês" numFmtId="14">
      <sharedItems containsBlank="1" count="13">
        <s v="OUT"/>
        <m/>
        <s v="FEV" u="1"/>
        <s v="ABR" u="1"/>
        <s v="DEZ" u="1"/>
        <s v="JAN" u="1"/>
        <s v="SET" u="1"/>
        <s v="MAI" u="1"/>
        <s v="NOV" u="1"/>
        <s v="AGO" u="1"/>
        <s v="JUL" u="1"/>
        <s v="MAR" u="1"/>
        <s v="JUN" u="1"/>
      </sharedItems>
    </cacheField>
    <cacheField name="Ano" numFmtId="1">
      <sharedItems containsString="0" containsBlank="1" containsNumber="1" containsInteger="1" minValue="2015" maxValue="2025" count="6">
        <n v="2025"/>
        <m/>
        <n v="2015" u="1"/>
        <n v="2018" u="1"/>
        <n v="2016" u="1"/>
        <n v="2017" u="1"/>
      </sharedItems>
    </cacheField>
    <cacheField name="Horário consulta" numFmtId="164">
      <sharedItems containsNonDate="0" containsDate="1" containsString="0" containsBlank="1" minDate="1899-12-30T08:00:00" maxDate="1899-12-30T11:00:00"/>
    </cacheField>
    <cacheField name="Período" numFmtId="1">
      <sharedItems containsBlank="1" count="3">
        <s v="Manhã"/>
        <s v="tarde"/>
        <m/>
      </sharedItems>
    </cacheField>
    <cacheField name="Motivo de Procura" numFmtId="0">
      <sharedItems containsBlank="1"/>
    </cacheField>
    <cacheField name="Comparecimento" numFmtId="0">
      <sharedItems containsBlank="1" count="3">
        <s v="Sim"/>
        <m/>
        <s v="Não" u="1"/>
      </sharedItems>
    </cacheField>
    <cacheField name="Setor" numFmtId="0">
      <sharedItems containsBlank="1"/>
    </cacheField>
  </cacheFields>
  <extLst>
    <ext xmlns:x14="http://schemas.microsoft.com/office/spreadsheetml/2009/9/main" uri="{725AE2AE-9491-48be-B2B4-4EB974FC3084}">
      <x14:pivotCacheDefinition pivotCacheId="140851578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4">
  <r>
    <m/>
    <n v="42"/>
    <s v="Feminino"/>
    <d v="2025-10-14T00:00:00"/>
    <x v="0"/>
    <x v="0"/>
    <d v="1899-12-30T08:00:00"/>
    <x v="0"/>
    <s v="Emocional/Pessoal"/>
    <x v="0"/>
    <s v="SSMA"/>
  </r>
  <r>
    <m/>
    <n v="30"/>
    <s v="Masculino"/>
    <d v="2025-10-15T00:00:00"/>
    <x v="0"/>
    <x v="0"/>
    <d v="1899-12-30T11:00:00"/>
    <x v="1"/>
    <s v="Emocional/Trabalho"/>
    <x v="0"/>
    <s v="corte e dobra"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  <r>
    <m/>
    <m/>
    <m/>
    <m/>
    <x v="1"/>
    <x v="1"/>
    <m/>
    <x v="2"/>
    <m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45B7B3-15A0-486D-9BF6-05E32AA0E919}" name="Tabela dinâmica10" cacheId="34" applyNumberFormats="0" applyBorderFormats="0" applyFontFormats="0" applyPatternFormats="0" applyAlignmentFormats="0" applyWidthHeightFormats="1" dataCaption="Valores" updatedVersion="7" minRefreshableVersion="3" rowGrandTotals="0" colGrandTotals="0" itemPrintTitles="1" createdVersion="6" indent="0" multipleFieldFilters="0" chartFormat="15">
  <location ref="BN8:BP25" firstHeaderRow="1" firstDataRow="1" firstDataCol="0"/>
  <pivotFields count="11">
    <pivotField showAll="0"/>
    <pivotField showAll="0"/>
    <pivotField showAll="0"/>
    <pivotField numFmtId="14" showAll="0"/>
    <pivotField showAll="0">
      <items count="14">
        <item m="1" x="5"/>
        <item m="1" x="2"/>
        <item m="1" x="11"/>
        <item m="1" x="3"/>
        <item m="1" x="7"/>
        <item m="1" x="12"/>
        <item m="1" x="10"/>
        <item m="1" x="9"/>
        <item m="1" x="6"/>
        <item x="0"/>
        <item m="1" x="8"/>
        <item m="1" x="4"/>
        <item x="1"/>
        <item t="default"/>
      </items>
    </pivotField>
    <pivotField numFmtId="1" showAll="0">
      <items count="7">
        <item m="1" x="2"/>
        <item m="1" x="4"/>
        <item m="1" x="5"/>
        <item m="1" x="3"/>
        <item x="0"/>
        <item x="1"/>
        <item t="default"/>
      </items>
    </pivotField>
    <pivotField numFmtId="164" showAll="0"/>
    <pivotField showAll="0"/>
    <pivotField showAll="0"/>
    <pivotField showAll="0"/>
    <pivotField showAll="0"/>
  </pivot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E117A4-30FF-4089-B207-637E52BD6EA8}" name="Tabela dinâmica8" cacheId="34" applyNumberFormats="0" applyBorderFormats="0" applyFontFormats="0" applyPatternFormats="0" applyAlignmentFormats="0" applyWidthHeightFormats="1" dataCaption="Valores" updatedVersion="7" minRefreshableVersion="3" rowGrandTotals="0" colGrandTotals="0" itemPrintTitles="1" createdVersion="6" indent="0" multipleFieldFilters="0" chartFormat="9">
  <location ref="BH8:BI10" firstHeaderRow="1" firstDataRow="1" firstDataCol="1"/>
  <pivotFields count="11">
    <pivotField showAll="0"/>
    <pivotField showAll="0"/>
    <pivotField showAll="0"/>
    <pivotField numFmtId="14" showAll="0"/>
    <pivotField axis="axisRow" dataField="1" showAll="0">
      <items count="14">
        <item m="1" x="5"/>
        <item m="1" x="2"/>
        <item m="1" x="11"/>
        <item m="1" x="3"/>
        <item m="1" x="7"/>
        <item m="1" x="12"/>
        <item m="1" x="10"/>
        <item m="1" x="9"/>
        <item m="1" x="6"/>
        <item x="0"/>
        <item m="1" x="8"/>
        <item m="1" x="4"/>
        <item x="1"/>
        <item t="default"/>
      </items>
    </pivotField>
    <pivotField numFmtId="1" showAll="0">
      <items count="7">
        <item m="1" x="2"/>
        <item m="1" x="4"/>
        <item m="1" x="5"/>
        <item m="1" x="3"/>
        <item x="0"/>
        <item x="1"/>
        <item t="default"/>
      </items>
    </pivotField>
    <pivotField numFmtId="164" showAll="0"/>
    <pivotField showAll="0"/>
    <pivotField showAll="0"/>
    <pivotField showAll="0"/>
    <pivotField showAll="0"/>
  </pivotFields>
  <rowFields count="1">
    <field x="4"/>
  </rowFields>
  <rowItems count="2">
    <i>
      <x v="9"/>
    </i>
    <i>
      <x v="12"/>
    </i>
  </rowItems>
  <colItems count="1">
    <i/>
  </colItems>
  <dataFields count="1">
    <dataField name="Contagem de Mês" fld="4" subtotal="count" baseField="0" baseItem="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365CCC-401F-4A08-B100-943365F55C9F}" name="Tabela dinâmica9" cacheId="34" applyNumberFormats="0" applyBorderFormats="0" applyFontFormats="0" applyPatternFormats="0" applyAlignmentFormats="0" applyWidthHeightFormats="1" dataCaption="Valores" updatedVersion="7" minRefreshableVersion="3" rowGrandTotals="0" colGrandTotals="0" itemPrintTitles="1" createdVersion="6" indent="0" multipleFieldFilters="0" chartFormat="9">
  <location ref="AO10:AQ27" firstHeaderRow="1" firstDataRow="1" firstDataCol="0"/>
  <pivotFields count="11">
    <pivotField showAll="0"/>
    <pivotField showAll="0"/>
    <pivotField showAll="0"/>
    <pivotField numFmtId="14" showAll="0"/>
    <pivotField showAll="0"/>
    <pivotField numFmtId="1" showAll="0">
      <items count="7">
        <item m="1" x="2"/>
        <item m="1" x="4"/>
        <item m="1" x="5"/>
        <item m="1" x="3"/>
        <item x="0"/>
        <item x="1"/>
        <item t="default"/>
      </items>
    </pivotField>
    <pivotField numFmtId="164" showAll="0"/>
    <pivotField showAll="0"/>
    <pivotField showAll="0"/>
    <pivotField showAll="0"/>
    <pivotField showAll="0"/>
  </pivot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7DCD65-32A7-4CC1-956A-3FED2A24AA29}" name="Tabela dinâmica5" cacheId="34" applyNumberFormats="0" applyBorderFormats="0" applyFontFormats="0" applyPatternFormats="0" applyAlignmentFormats="0" applyWidthHeightFormats="1" dataCaption="Valores" updatedVersion="7" minRefreshableVersion="3" rowGrandTotals="0" colGrandTotals="0" itemPrintTitles="1" createdVersion="6" indent="0" multipleFieldFilters="0" chartFormat="9">
  <location ref="W8:Y25" firstHeaderRow="1" firstDataRow="1" firstDataCol="0"/>
  <pivotFields count="11">
    <pivotField showAll="0"/>
    <pivotField showAll="0"/>
    <pivotField showAll="0"/>
    <pivotField numFmtId="14" showAll="0"/>
    <pivotField showAll="0">
      <items count="14">
        <item m="1" x="5"/>
        <item m="1" x="2"/>
        <item m="1" x="11"/>
        <item m="1" x="3"/>
        <item m="1" x="7"/>
        <item m="1" x="12"/>
        <item m="1" x="10"/>
        <item m="1" x="9"/>
        <item m="1" x="6"/>
        <item x="0"/>
        <item m="1" x="8"/>
        <item m="1" x="4"/>
        <item x="1"/>
        <item t="default"/>
      </items>
    </pivotField>
    <pivotField numFmtId="1" showAll="0">
      <items count="7">
        <item m="1" x="2"/>
        <item m="1" x="4"/>
        <item m="1" x="5"/>
        <item m="1" x="3"/>
        <item x="0"/>
        <item x="1"/>
        <item t="default"/>
      </items>
    </pivotField>
    <pivotField numFmtId="164" showAll="0"/>
    <pivotField showAll="0"/>
    <pivotField showAll="0"/>
    <pivotField showAll="0"/>
    <pivotField showAll="0"/>
  </pivot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4CF125-6E97-40B7-AB92-E101FBA2EF5E}" name="Tabela dinâmica7" cacheId="34" applyNumberFormats="0" applyBorderFormats="0" applyFontFormats="0" applyPatternFormats="0" applyAlignmentFormats="0" applyWidthHeightFormats="1" dataCaption="Valores" updatedVersion="7" minRefreshableVersion="3" rowGrandTotals="0" colGrandTotals="0" itemPrintTitles="1" createdVersion="6" indent="0" multipleFieldFilters="0" chartFormat="9">
  <location ref="AH8:AI10" firstHeaderRow="1" firstDataRow="1" firstDataCol="1"/>
  <pivotFields count="11">
    <pivotField showAll="0"/>
    <pivotField showAll="0"/>
    <pivotField showAll="0"/>
    <pivotField numFmtId="14" showAll="0"/>
    <pivotField axis="axisRow" dataField="1" showAll="0">
      <items count="14">
        <item m="1" x="5"/>
        <item m="1" x="2"/>
        <item m="1" x="11"/>
        <item m="1" x="3"/>
        <item m="1" x="7"/>
        <item m="1" x="12"/>
        <item m="1" x="10"/>
        <item m="1" x="9"/>
        <item m="1" x="6"/>
        <item x="0"/>
        <item m="1" x="8"/>
        <item m="1" x="4"/>
        <item x="1"/>
        <item t="default"/>
      </items>
    </pivotField>
    <pivotField numFmtId="1" showAll="0">
      <items count="7">
        <item m="1" x="2"/>
        <item m="1" x="4"/>
        <item m="1" x="5"/>
        <item m="1" x="3"/>
        <item x="0"/>
        <item x="1"/>
        <item t="default"/>
      </items>
    </pivotField>
    <pivotField numFmtId="164" showAll="0"/>
    <pivotField showAll="0"/>
    <pivotField showAll="0"/>
    <pivotField showAll="0"/>
    <pivotField showAll="0"/>
  </pivotFields>
  <rowFields count="1">
    <field x="4"/>
  </rowFields>
  <rowItems count="2">
    <i>
      <x v="9"/>
    </i>
    <i>
      <x v="12"/>
    </i>
  </rowItems>
  <colItems count="1">
    <i/>
  </colItems>
  <dataFields count="1">
    <dataField name="Contagem de Mês" fld="4" subtotal="count" baseField="0" baseItem="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70AE8-4768-4941-AC29-64CD078148B6}" name="Tabela dinâmica4" cacheId="34" applyNumberFormats="0" applyBorderFormats="0" applyFontFormats="0" applyPatternFormats="0" applyAlignmentFormats="0" applyWidthHeightFormats="1" dataCaption="Valores" updatedVersion="7" minRefreshableVersion="3" rowGrandTotals="0" colGrandTotals="0" itemPrintTitles="1" createdVersion="6" indent="0" multipleFieldFilters="0">
  <location ref="O8:P10" firstHeaderRow="1" firstDataRow="1" firstDataCol="1"/>
  <pivotFields count="11">
    <pivotField showAll="0"/>
    <pivotField showAll="0"/>
    <pivotField showAll="0"/>
    <pivotField numFmtId="14" showAll="0"/>
    <pivotField showAll="0">
      <items count="14">
        <item m="1" x="5"/>
        <item m="1" x="2"/>
        <item m="1" x="11"/>
        <item m="1" x="3"/>
        <item m="1" x="7"/>
        <item m="1" x="12"/>
        <item m="1" x="10"/>
        <item m="1" x="9"/>
        <item m="1" x="6"/>
        <item x="0"/>
        <item m="1" x="8"/>
        <item m="1" x="4"/>
        <item x="1"/>
        <item t="default"/>
      </items>
    </pivotField>
    <pivotField numFmtId="1" showAll="0">
      <items count="7">
        <item m="1" x="2"/>
        <item m="1" x="4"/>
        <item m="1" x="5"/>
        <item m="1" x="3"/>
        <item x="0"/>
        <item x="1"/>
        <item t="default"/>
      </items>
    </pivotField>
    <pivotField numFmtId="164" showAll="0"/>
    <pivotField showAll="0"/>
    <pivotField showAll="0"/>
    <pivotField axis="axisRow" dataField="1" showAll="0">
      <items count="4">
        <item m="1" x="2"/>
        <item x="0"/>
        <item x="1"/>
        <item t="default"/>
      </items>
    </pivotField>
    <pivotField showAll="0"/>
  </pivotFields>
  <rowFields count="1">
    <field x="9"/>
  </rowFields>
  <rowItems count="2">
    <i>
      <x v="1"/>
    </i>
    <i>
      <x v="2"/>
    </i>
  </rowItems>
  <colItems count="1">
    <i/>
  </colItems>
  <dataFields count="1">
    <dataField name="Contagem de Comparecimento" fld="9" subtotal="count" baseField="0" baseItem="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D96B54-68EC-4E16-82DA-1632530659B3}" name="Tabela dinâmica6" cacheId="34" applyNumberFormats="0" applyBorderFormats="0" applyFontFormats="0" applyPatternFormats="0" applyAlignmentFormats="0" applyWidthHeightFormats="1" dataCaption="Valores" updatedVersion="7" minRefreshableVersion="3" rowGrandTotals="0" colGrandTotals="0" itemPrintTitles="1" createdVersion="6" indent="0" multipleFieldFilters="0" chartFormat="9">
  <location ref="Z8:AB25" firstHeaderRow="1" firstDataRow="1" firstDataCol="0"/>
  <pivotFields count="11">
    <pivotField showAll="0"/>
    <pivotField showAll="0"/>
    <pivotField showAll="0"/>
    <pivotField numFmtId="14" showAll="0"/>
    <pivotField showAll="0">
      <items count="14">
        <item m="1" x="5"/>
        <item m="1" x="2"/>
        <item m="1" x="11"/>
        <item m="1" x="3"/>
        <item m="1" x="7"/>
        <item m="1" x="12"/>
        <item m="1" x="10"/>
        <item m="1" x="9"/>
        <item m="1" x="6"/>
        <item x="0"/>
        <item m="1" x="8"/>
        <item m="1" x="4"/>
        <item x="1"/>
        <item t="default"/>
      </items>
    </pivotField>
    <pivotField numFmtId="1" showAll="0">
      <items count="7">
        <item m="1" x="2"/>
        <item m="1" x="4"/>
        <item m="1" x="5"/>
        <item m="1" x="3"/>
        <item x="0"/>
        <item x="1"/>
        <item t="default"/>
      </items>
    </pivotField>
    <pivotField numFmtId="164" showAll="0"/>
    <pivotField showAll="0"/>
    <pivotField showAll="0"/>
    <pivotField showAll="0"/>
    <pivotField showAll="0"/>
  </pivot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9FB826-B86A-4A8E-B18E-A229081A3A8E}" name="Tabela dinâmica14" cacheId="34" applyNumberFormats="0" applyBorderFormats="0" applyFontFormats="0" applyPatternFormats="0" applyAlignmentFormats="0" applyWidthHeightFormats="1" dataCaption="Valores" updatedVersion="7" minRefreshableVersion="3" rowGrandTotals="0" colGrandTotals="0" itemPrintTitles="1" createdVersion="6" indent="0" multipleFieldFilters="0" chartFormat="16">
  <location ref="BB8:BC11" firstHeaderRow="1" firstDataRow="1" firstDataCol="1"/>
  <pivotFields count="11">
    <pivotField showAll="0"/>
    <pivotField showAll="0"/>
    <pivotField showAll="0"/>
    <pivotField numFmtId="14" showAll="0"/>
    <pivotField showAll="0">
      <items count="14">
        <item m="1" x="5"/>
        <item m="1" x="2"/>
        <item m="1" x="11"/>
        <item m="1" x="3"/>
        <item m="1" x="7"/>
        <item m="1" x="12"/>
        <item m="1" x="10"/>
        <item m="1" x="9"/>
        <item m="1" x="6"/>
        <item x="0"/>
        <item m="1" x="8"/>
        <item m="1" x="4"/>
        <item x="1"/>
        <item t="default"/>
      </items>
    </pivotField>
    <pivotField numFmtId="1" showAll="0">
      <items count="7">
        <item m="1" x="2"/>
        <item m="1" x="4"/>
        <item m="1" x="5"/>
        <item m="1" x="3"/>
        <item x="0"/>
        <item x="1"/>
        <item t="default"/>
      </items>
    </pivotField>
    <pivotField numFmtId="164" showAll="0"/>
    <pivotField axis="axisRow" dataField="1" showAll="0" sortType="a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</pivotFields>
  <rowFields count="1">
    <field x="7"/>
  </rowFields>
  <rowItems count="3">
    <i>
      <x v="2"/>
    </i>
    <i>
      <x v="1"/>
    </i>
    <i>
      <x/>
    </i>
  </rowItems>
  <colItems count="1">
    <i/>
  </colItems>
  <dataFields count="1">
    <dataField name="Contagem de Período" fld="7" subtotal="count" baseField="0" baseItem="0"/>
  </dataFields>
  <chartFormats count="1">
    <chartFormat chart="1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576C91-33A1-4323-8A69-6A2DBE762975}" name="Tabela dinâmica15" cacheId="34" applyNumberFormats="0" applyBorderFormats="0" applyFontFormats="0" applyPatternFormats="0" applyAlignmentFormats="0" applyWidthHeightFormats="1" dataCaption="Valores" updatedVersion="7" minRefreshableVersion="3" rowGrandTotals="0" colGrandTotals="0" itemPrintTitles="1" createdVersion="6" indent="0" multipleFieldFilters="0" chartFormat="15">
  <location ref="BE8:BG25" firstHeaderRow="1" firstDataRow="1" firstDataCol="0"/>
  <pivotFields count="11">
    <pivotField showAll="0"/>
    <pivotField showAll="0"/>
    <pivotField showAll="0"/>
    <pivotField numFmtId="14" showAll="0"/>
    <pivotField showAll="0">
      <items count="14">
        <item m="1" x="5"/>
        <item m="1" x="2"/>
        <item m="1" x="11"/>
        <item m="1" x="3"/>
        <item m="1" x="7"/>
        <item m="1" x="12"/>
        <item m="1" x="10"/>
        <item m="1" x="9"/>
        <item m="1" x="6"/>
        <item x="0"/>
        <item m="1" x="8"/>
        <item m="1" x="4"/>
        <item x="1"/>
        <item t="default"/>
      </items>
    </pivotField>
    <pivotField numFmtId="1" showAll="0">
      <items count="7">
        <item m="1" x="2"/>
        <item m="1" x="4"/>
        <item m="1" x="5"/>
        <item m="1" x="3"/>
        <item x="0"/>
        <item x="1"/>
        <item t="default"/>
      </items>
    </pivotField>
    <pivotField numFmtId="164" showAll="0"/>
    <pivotField showAll="0"/>
    <pivotField showAll="0"/>
    <pivotField showAll="0"/>
    <pivotField showAll="0"/>
  </pivot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8E07FD-E11A-4E15-84E3-A99EA0861EC9}" name="Tabela dinâmica3" cacheId="34" applyNumberFormats="0" applyBorderFormats="0" applyFontFormats="0" applyPatternFormats="0" applyAlignmentFormats="0" applyWidthHeightFormats="1" dataCaption="Valores" updatedVersion="7" minRefreshableVersion="3" rowGrandTotals="0" colGrandTotals="0" itemPrintTitles="1" createdVersion="6" indent="0" multipleFieldFilters="0">
  <location ref="G8:H11" firstHeaderRow="1" firstDataRow="1" firstDataCol="1"/>
  <pivotFields count="11">
    <pivotField showAll="0"/>
    <pivotField showAll="0"/>
    <pivotField showAll="0"/>
    <pivotField numFmtId="14" showAll="0"/>
    <pivotField dataField="1" showAll="0">
      <items count="14">
        <item m="1" x="5"/>
        <item m="1" x="2"/>
        <item m="1" x="11"/>
        <item m="1" x="3"/>
        <item m="1" x="7"/>
        <item m="1" x="12"/>
        <item m="1" x="10"/>
        <item m="1" x="9"/>
        <item m="1" x="6"/>
        <item x="0"/>
        <item m="1" x="8"/>
        <item m="1" x="4"/>
        <item x="1"/>
        <item t="default"/>
      </items>
    </pivotField>
    <pivotField numFmtId="1" showAll="0">
      <items count="7">
        <item m="1" x="2"/>
        <item m="1" x="4"/>
        <item m="1" x="5"/>
        <item m="1" x="3"/>
        <item x="0"/>
        <item x="1"/>
        <item t="default"/>
      </items>
    </pivotField>
    <pivotField numFmtId="164"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</pivotFields>
  <rowFields count="1">
    <field x="7"/>
  </rowFields>
  <rowItems count="3">
    <i>
      <x/>
    </i>
    <i>
      <x v="1"/>
    </i>
    <i>
      <x v="2"/>
    </i>
  </rowItems>
  <colItems count="1">
    <i/>
  </colItems>
  <dataFields count="1">
    <dataField name="Qtde por Período" fld="4" subtotal="count" baseField="0" baseItem="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34CC06-B07E-4B22-A953-199D7691C814}" name="Tabela dinâmica1" cacheId="34" applyNumberFormats="0" applyBorderFormats="0" applyFontFormats="0" applyPatternFormats="0" applyAlignmentFormats="0" applyWidthHeightFormats="1" dataCaption="Valores" updatedVersion="7" minRefreshableVersion="3" rowGrandTotals="0" colGrandTotals="0" itemPrintTitles="1" createdVersion="6" indent="0" multipleFieldFilters="0">
  <location ref="E8:E9" firstHeaderRow="1" firstDataRow="1" firstDataCol="0"/>
  <pivotFields count="11">
    <pivotField showAll="0"/>
    <pivotField showAll="0"/>
    <pivotField showAll="0"/>
    <pivotField numFmtId="14" showAll="0"/>
    <pivotField dataField="1" showAll="0">
      <items count="14">
        <item m="1" x="5"/>
        <item m="1" x="2"/>
        <item m="1" x="11"/>
        <item m="1" x="3"/>
        <item m="1" x="7"/>
        <item m="1" x="12"/>
        <item m="1" x="10"/>
        <item m="1" x="9"/>
        <item m="1" x="6"/>
        <item x="0"/>
        <item m="1" x="8"/>
        <item m="1" x="4"/>
        <item x="1"/>
        <item t="default"/>
      </items>
    </pivotField>
    <pivotField numFmtId="1" showAll="0">
      <items count="7">
        <item m="1" x="2"/>
        <item m="1" x="4"/>
        <item m="1" x="5"/>
        <item m="1" x="3"/>
        <item x="0"/>
        <item x="1"/>
        <item t="default"/>
      </items>
    </pivotField>
    <pivotField numFmtId="164"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Consultas Marcadas" fld="4" subtotal="count" baseField="0" baseItem="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CC7C00-C572-4501-A227-6B8DD4764716}" name="Tabela dinâmica12" cacheId="34" applyNumberFormats="0" applyBorderFormats="0" applyFontFormats="0" applyPatternFormats="0" applyAlignmentFormats="0" applyWidthHeightFormats="1" dataCaption="Valores" updatedVersion="7" minRefreshableVersion="3" rowGrandTotals="0" colGrandTotals="0" itemPrintTitles="1" createdVersion="6" indent="0" multipleFieldFilters="0" chartFormat="9">
  <location ref="AT8:AT9" firstHeaderRow="1" firstDataRow="1" firstDataCol="0"/>
  <pivotFields count="11">
    <pivotField showAll="0"/>
    <pivotField showAll="0"/>
    <pivotField showAll="0"/>
    <pivotField numFmtId="14" showAll="0"/>
    <pivotField dataField="1" showAll="0">
      <items count="14">
        <item m="1" x="5"/>
        <item m="1" x="2"/>
        <item m="1" x="11"/>
        <item m="1" x="3"/>
        <item m="1" x="7"/>
        <item m="1" x="12"/>
        <item m="1" x="10"/>
        <item m="1" x="9"/>
        <item m="1" x="6"/>
        <item x="0"/>
        <item m="1" x="8"/>
        <item m="1" x="4"/>
        <item x="1"/>
        <item t="default"/>
      </items>
    </pivotField>
    <pivotField numFmtId="1" showAll="0">
      <items count="7">
        <item m="1" x="2"/>
        <item m="1" x="4"/>
        <item m="1" x="5"/>
        <item m="1" x="3"/>
        <item x="0"/>
        <item x="1"/>
        <item t="default"/>
      </items>
    </pivotField>
    <pivotField numFmtId="164"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Contagem de Mês" fld="4" subtotal="count" baseField="0" baseItem="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DAB9B-570C-4E1E-9F8D-E0779C3AB94A}" name="Tabela dinâmica2" cacheId="34" applyNumberFormats="0" applyBorderFormats="0" applyFontFormats="0" applyPatternFormats="0" applyAlignmentFormats="0" applyWidthHeightFormats="1" dataCaption="Valores" updatedVersion="7" minRefreshableVersion="3" rowGrandTotals="0" colGrandTotals="0" itemPrintTitles="1" createdVersion="6" indent="0" multipleFieldFilters="0">
  <location ref="C8:C10" firstHeaderRow="1" firstDataRow="1" firstDataCol="1"/>
  <pivotFields count="11">
    <pivotField showAll="0"/>
    <pivotField showAll="0"/>
    <pivotField showAll="0"/>
    <pivotField numFmtId="14" showAll="0"/>
    <pivotField showAll="0">
      <items count="14">
        <item m="1" x="5"/>
        <item m="1" x="2"/>
        <item m="1" x="11"/>
        <item m="1" x="3"/>
        <item m="1" x="7"/>
        <item m="1" x="12"/>
        <item m="1" x="10"/>
        <item m="1" x="9"/>
        <item m="1" x="6"/>
        <item x="0"/>
        <item m="1" x="8"/>
        <item m="1" x="4"/>
        <item x="1"/>
        <item t="default"/>
      </items>
    </pivotField>
    <pivotField axis="axisRow" numFmtId="1" showAll="0">
      <items count="7">
        <item m="1" x="2"/>
        <item m="1" x="4"/>
        <item m="1" x="5"/>
        <item m="1" x="3"/>
        <item x="0"/>
        <item x="1"/>
        <item t="default"/>
      </items>
    </pivotField>
    <pivotField numFmtId="164" showAll="0"/>
    <pivotField showAll="0"/>
    <pivotField showAll="0"/>
    <pivotField showAll="0"/>
    <pivotField showAll="0"/>
  </pivotFields>
  <rowFields count="1">
    <field x="5"/>
  </rowFields>
  <rowItems count="2">
    <i>
      <x v="4"/>
    </i>
    <i>
      <x v="5"/>
    </i>
  </rowItems>
  <colItems count="1">
    <i/>
  </colItem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F9516A-DA23-453D-A07B-D1D30055A5C9}" name="Tabela dinâmica13" cacheId="34" applyNumberFormats="0" applyBorderFormats="0" applyFontFormats="0" applyPatternFormats="0" applyAlignmentFormats="0" applyWidthHeightFormats="1" dataCaption="Valores" updatedVersion="7" minRefreshableVersion="3" rowGrandTotals="0" colGrandTotals="0" itemPrintTitles="1" createdVersion="6" indent="0" multipleFieldFilters="0" chartFormat="15">
  <location ref="AY8:AZ9" firstHeaderRow="1" firstDataRow="1" firstDataCol="1"/>
  <pivotFields count="11">
    <pivotField showAll="0"/>
    <pivotField showAll="0"/>
    <pivotField showAll="0"/>
    <pivotField numFmtId="14" showAll="0"/>
    <pivotField showAll="0">
      <items count="14">
        <item m="1" x="5"/>
        <item m="1" x="2"/>
        <item m="1" x="11"/>
        <item m="1" x="3"/>
        <item m="1" x="7"/>
        <item m="1" x="12"/>
        <item m="1" x="10"/>
        <item m="1" x="9"/>
        <item m="1" x="6"/>
        <item x="0"/>
        <item m="1" x="8"/>
        <item m="1" x="4"/>
        <item x="1"/>
        <item t="default"/>
      </items>
    </pivotField>
    <pivotField numFmtId="1" showAll="0">
      <items count="7">
        <item m="1" x="2"/>
        <item m="1" x="4"/>
        <item m="1" x="5"/>
        <item m="1" x="3"/>
        <item x="0"/>
        <item x="1"/>
        <item t="default"/>
      </items>
    </pivotField>
    <pivotField numFmtId="164" showAll="0"/>
    <pivotField showAll="0"/>
    <pivotField showAll="0"/>
    <pivotField axis="axisRow" dataField="1" showAll="0" sortType="ascending">
      <items count="4">
        <item h="1" m="1" x="2"/>
        <item x="0"/>
        <item h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9"/>
  </rowFields>
  <rowItems count="1">
    <i>
      <x v="1"/>
    </i>
  </rowItems>
  <colItems count="1">
    <i/>
  </colItems>
  <dataFields count="1">
    <dataField name="Contagem de Comparecimento" fld="9" subtotal="count" baseField="0" baseItem="0"/>
  </dataFields>
  <chartFormats count="1"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515BD4DB-8D23-4369-BE42-47DEE0D278E6}" sourceName="Mês">
  <pivotTables>
    <pivotTable tabId="3" name="Tabela dinâmica2"/>
    <pivotTable tabId="3" name="Tabela dinâmica1"/>
    <pivotTable tabId="3" name="Tabela dinâmica3"/>
    <pivotTable tabId="3" name="Tabela dinâmica4"/>
    <pivotTable tabId="3" name="Tabela dinâmica5"/>
    <pivotTable tabId="3" name="Tabela dinâmica6"/>
    <pivotTable tabId="3" name="Tabela dinâmica10"/>
    <pivotTable tabId="3" name="Tabela dinâmica12"/>
    <pivotTable tabId="3" name="Tabela dinâmica13"/>
    <pivotTable tabId="3" name="Tabela dinâmica14"/>
    <pivotTable tabId="3" name="Tabela dinâmica15"/>
  </pivotTables>
  <data>
    <tabular pivotCacheId="1408515789">
      <items count="13">
        <i x="0" s="1"/>
        <i x="1" s="1"/>
        <i x="5" s="1" nd="1"/>
        <i x="2" s="1" nd="1"/>
        <i x="11" s="1" nd="1"/>
        <i x="3" s="1" nd="1"/>
        <i x="7" s="1" nd="1"/>
        <i x="12" s="1" nd="1"/>
        <i x="10" s="1" nd="1"/>
        <i x="9" s="1" nd="1"/>
        <i x="6" s="1" nd="1"/>
        <i x="8" s="1" nd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DAB4E5D2-DFB5-4503-95BB-B52C86A3AA53}" sourceName="Ano">
  <pivotTables>
    <pivotTable tabId="3" name="Tabela dinâmica2"/>
    <pivotTable tabId="3" name="Tabela dinâmica1"/>
    <pivotTable tabId="3" name="Tabela dinâmica3"/>
    <pivotTable tabId="3" name="Tabela dinâmica4"/>
    <pivotTable tabId="3" name="Tabela dinâmica5"/>
    <pivotTable tabId="3" name="Tabela dinâmica6"/>
    <pivotTable tabId="3" name="Tabela dinâmica7"/>
    <pivotTable tabId="3" name="Tabela dinâmica8"/>
    <pivotTable tabId="3" name="Tabela dinâmica9"/>
    <pivotTable tabId="3" name="Tabela dinâmica10"/>
    <pivotTable tabId="3" name="Tabela dinâmica12"/>
    <pivotTable tabId="3" name="Tabela dinâmica13"/>
    <pivotTable tabId="3" name="Tabela dinâmica14"/>
    <pivotTable tabId="3" name="Tabela dinâmica15"/>
  </pivotTables>
  <data>
    <tabular pivotCacheId="1408515789">
      <items count="6">
        <i x="0" s="1"/>
        <i x="1" s="1"/>
        <i x="2" s="1" nd="1"/>
        <i x="4" s="1" nd="1"/>
        <i x="5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" xr10:uid="{543B9518-D895-4425-B6F4-2C3372646037}" cache="SegmentaçãodeDados_Mês" caption="Mês" showCaption="0" style="AB_Health" lockedPosition="1" rowHeight="234950"/>
  <slicer name="Ano" xr10:uid="{2ACB6809-044A-4C66-8E6E-8CEAE20CDB55}" cache="SegmentaçãodeDados_Ano" caption="Ano" showCaption="0" style="AB_Health" lockedPosition="1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18F203-7DDA-412D-A77B-267250868FDA}" name="Base" displayName="Base" ref="C4:M748" totalsRowShown="0" headerRowDxfId="17" dataDxfId="16">
  <autoFilter ref="C4:M748" xr:uid="{EA18F203-7DDA-412D-A77B-267250868FDA}"/>
  <tableColumns count="11">
    <tableColumn id="1" xr3:uid="{79536A41-DC05-4DBC-8AAA-958066011A61}" name="Código Prontuário" dataDxfId="15"/>
    <tableColumn id="8" xr3:uid="{D3D7C840-46A0-4E38-873C-F361555EBB61}" name="Idade" dataDxfId="0"/>
    <tableColumn id="7" xr3:uid="{828E8F12-6106-4131-B1B3-12BC51892B58}" name="Sexo" dataDxfId="1"/>
    <tableColumn id="2" xr3:uid="{52D40607-44F1-444D-9CA6-161176EF7167}" name="Data da consulta" dataDxfId="14"/>
    <tableColumn id="15" xr3:uid="{6E1DABCD-E4DE-412B-A698-29D19C0FC8CF}" name="Mês" dataDxfId="13"/>
    <tableColumn id="14" xr3:uid="{F664446F-7E7B-42EF-A6B1-0198310FEC69}" name="Ano" dataDxfId="12"/>
    <tableColumn id="3" xr3:uid="{124AF667-FD96-4DF0-9015-F713D7EA48EF}" name="Horário consulta" dataDxfId="11"/>
    <tableColumn id="13" xr3:uid="{FC4D1BF7-1A64-45DB-B4EB-2650F855CF12}" name="Período" dataDxfId="10"/>
    <tableColumn id="5" xr3:uid="{A238669A-CC5B-4F74-8288-3D23D4D179E0}" name="Motivo de Procura" dataDxfId="9"/>
    <tableColumn id="6" xr3:uid="{516002D9-44B5-47B2-B2E5-9D5F8BA78A5C}" name="Comparecimento" dataDxfId="8"/>
    <tableColumn id="12" xr3:uid="{58CC76BB-8F1F-482E-B07C-5EC23510502A}" name="Setor" dataDxfId="7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4B6994F-FF1F-412A-95FA-49B7EF848CC4}" name="tab_Estados" displayName="tab_Estados" ref="C4:E71" totalsRowShown="0" headerRowDxfId="6" dataDxfId="5">
  <autoFilter ref="C4:E71" xr:uid="{6C52247D-AE1E-47BA-A75B-BDE01A322021}"/>
  <tableColumns count="3">
    <tableColumn id="1" xr3:uid="{566A7E18-BAA6-4050-B92D-53501F9DAA29}" name="DDD" dataDxfId="4"/>
    <tableColumn id="2" xr3:uid="{D9DE4E76-10A1-4EE9-B642-847988C689E4}" name="Sigla" dataDxfId="3"/>
    <tableColumn id="3" xr3:uid="{269BE728-AD49-4DA7-AB44-992AC0F5E7E7}" name="Setores" dataDxfId="2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AB Health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26873"/>
      </a:accent1>
      <a:accent2>
        <a:srgbClr val="2CB8C5"/>
      </a:accent2>
      <a:accent3>
        <a:srgbClr val="025951"/>
      </a:accent3>
      <a:accent4>
        <a:srgbClr val="0D0D0D"/>
      </a:accent4>
      <a:accent5>
        <a:srgbClr val="A1F4FD"/>
      </a:accent5>
      <a:accent6>
        <a:srgbClr val="0140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AB Health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026873"/>
    </a:accent1>
    <a:accent2>
      <a:srgbClr val="2CB8C5"/>
    </a:accent2>
    <a:accent3>
      <a:srgbClr val="025951"/>
    </a:accent3>
    <a:accent4>
      <a:srgbClr val="0D0D0D"/>
    </a:accent4>
    <a:accent5>
      <a:srgbClr val="A1F4FD"/>
    </a:accent5>
    <a:accent6>
      <a:srgbClr val="0140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AB Health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026873"/>
    </a:accent1>
    <a:accent2>
      <a:srgbClr val="2CB8C5"/>
    </a:accent2>
    <a:accent3>
      <a:srgbClr val="025951"/>
    </a:accent3>
    <a:accent4>
      <a:srgbClr val="0D0D0D"/>
    </a:accent4>
    <a:accent5>
      <a:srgbClr val="A1F4FD"/>
    </a:accent5>
    <a:accent6>
      <a:srgbClr val="0140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AB Health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026873"/>
    </a:accent1>
    <a:accent2>
      <a:srgbClr val="2CB8C5"/>
    </a:accent2>
    <a:accent3>
      <a:srgbClr val="025951"/>
    </a:accent3>
    <a:accent4>
      <a:srgbClr val="0D0D0D"/>
    </a:accent4>
    <a:accent5>
      <a:srgbClr val="A1F4FD"/>
    </a:accent5>
    <a:accent6>
      <a:srgbClr val="0140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AB Health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026873"/>
    </a:accent1>
    <a:accent2>
      <a:srgbClr val="2CB8C5"/>
    </a:accent2>
    <a:accent3>
      <a:srgbClr val="025951"/>
    </a:accent3>
    <a:accent4>
      <a:srgbClr val="0D0D0D"/>
    </a:accent4>
    <a:accent5>
      <a:srgbClr val="A1F4FD"/>
    </a:accent5>
    <a:accent6>
      <a:srgbClr val="0140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6" Type="http://schemas.openxmlformats.org/officeDocument/2006/relationships/drawing" Target="../drawings/drawing3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rinterSettings" Target="../printerSettings/printerSettings1.bin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185C6-F0CF-44C8-8410-CC46939077DB}">
  <sheetPr codeName="Planilha1"/>
  <dimension ref="A1:FI82"/>
  <sheetViews>
    <sheetView topLeftCell="A13" zoomScale="87" zoomScaleNormal="87" workbookViewId="0">
      <selection sqref="A1:A76"/>
    </sheetView>
  </sheetViews>
  <sheetFormatPr defaultColWidth="0" defaultRowHeight="7.2" customHeight="1" zeroHeight="1" x14ac:dyDescent="0.4"/>
  <cols>
    <col min="1" max="144" width="1.21875" style="2" customWidth="1"/>
    <col min="145" max="165" width="0" style="2" hidden="1" customWidth="1"/>
    <col min="166" max="16384" width="8.88671875" style="2" hidden="1"/>
  </cols>
  <sheetData>
    <row r="1" spans="1:1" ht="7.2" customHeight="1" x14ac:dyDescent="0.4">
      <c r="A1" s="64"/>
    </row>
    <row r="2" spans="1:1" ht="7.2" customHeight="1" x14ac:dyDescent="0.4">
      <c r="A2" s="64"/>
    </row>
    <row r="3" spans="1:1" ht="7.2" customHeight="1" x14ac:dyDescent="0.4">
      <c r="A3" s="64"/>
    </row>
    <row r="4" spans="1:1" ht="7.2" customHeight="1" x14ac:dyDescent="0.4">
      <c r="A4" s="64"/>
    </row>
    <row r="5" spans="1:1" ht="7.2" customHeight="1" x14ac:dyDescent="0.4">
      <c r="A5" s="64"/>
    </row>
    <row r="6" spans="1:1" ht="7.2" customHeight="1" x14ac:dyDescent="0.4">
      <c r="A6" s="64"/>
    </row>
    <row r="7" spans="1:1" ht="7.2" customHeight="1" x14ac:dyDescent="0.4">
      <c r="A7" s="64"/>
    </row>
    <row r="8" spans="1:1" ht="7.2" customHeight="1" x14ac:dyDescent="0.4">
      <c r="A8" s="64"/>
    </row>
    <row r="9" spans="1:1" ht="7.2" customHeight="1" x14ac:dyDescent="0.4">
      <c r="A9" s="64"/>
    </row>
    <row r="10" spans="1:1" ht="7.2" customHeight="1" x14ac:dyDescent="0.4">
      <c r="A10" s="64"/>
    </row>
    <row r="11" spans="1:1" ht="7.2" customHeight="1" x14ac:dyDescent="0.4">
      <c r="A11" s="64"/>
    </row>
    <row r="12" spans="1:1" ht="7.2" customHeight="1" x14ac:dyDescent="0.4">
      <c r="A12" s="64"/>
    </row>
    <row r="13" spans="1:1" ht="7.2" customHeight="1" x14ac:dyDescent="0.4">
      <c r="A13" s="64"/>
    </row>
    <row r="14" spans="1:1" ht="7.2" customHeight="1" x14ac:dyDescent="0.4">
      <c r="A14" s="64"/>
    </row>
    <row r="15" spans="1:1" ht="7.2" customHeight="1" x14ac:dyDescent="0.4">
      <c r="A15" s="64"/>
    </row>
    <row r="16" spans="1:1" ht="7.2" customHeight="1" x14ac:dyDescent="0.4">
      <c r="A16" s="64"/>
    </row>
    <row r="17" spans="1:1" ht="7.2" customHeight="1" x14ac:dyDescent="0.4">
      <c r="A17" s="64"/>
    </row>
    <row r="18" spans="1:1" ht="7.2" customHeight="1" x14ac:dyDescent="0.4">
      <c r="A18" s="64"/>
    </row>
    <row r="19" spans="1:1" ht="7.2" customHeight="1" x14ac:dyDescent="0.4">
      <c r="A19" s="64"/>
    </row>
    <row r="20" spans="1:1" ht="7.2" customHeight="1" x14ac:dyDescent="0.4">
      <c r="A20" s="64"/>
    </row>
    <row r="21" spans="1:1" ht="7.2" customHeight="1" x14ac:dyDescent="0.4">
      <c r="A21" s="64"/>
    </row>
    <row r="22" spans="1:1" ht="7.2" customHeight="1" x14ac:dyDescent="0.4">
      <c r="A22" s="64"/>
    </row>
    <row r="23" spans="1:1" ht="7.2" customHeight="1" x14ac:dyDescent="0.4">
      <c r="A23" s="64"/>
    </row>
    <row r="24" spans="1:1" ht="7.2" customHeight="1" x14ac:dyDescent="0.4">
      <c r="A24" s="64"/>
    </row>
    <row r="25" spans="1:1" ht="7.2" customHeight="1" x14ac:dyDescent="0.4">
      <c r="A25" s="64"/>
    </row>
    <row r="26" spans="1:1" ht="7.2" customHeight="1" x14ac:dyDescent="0.4">
      <c r="A26" s="64"/>
    </row>
    <row r="27" spans="1:1" ht="7.2" customHeight="1" x14ac:dyDescent="0.4">
      <c r="A27" s="64"/>
    </row>
    <row r="28" spans="1:1" ht="7.2" customHeight="1" x14ac:dyDescent="0.4">
      <c r="A28" s="64"/>
    </row>
    <row r="29" spans="1:1" ht="7.2" customHeight="1" x14ac:dyDescent="0.4">
      <c r="A29" s="64"/>
    </row>
    <row r="30" spans="1:1" ht="7.2" customHeight="1" x14ac:dyDescent="0.4">
      <c r="A30" s="64"/>
    </row>
    <row r="31" spans="1:1" ht="7.2" customHeight="1" x14ac:dyDescent="0.4">
      <c r="A31" s="64"/>
    </row>
    <row r="32" spans="1:1" ht="7.2" customHeight="1" x14ac:dyDescent="0.4">
      <c r="A32" s="64"/>
    </row>
    <row r="33" spans="1:1" ht="7.2" customHeight="1" x14ac:dyDescent="0.4">
      <c r="A33" s="64"/>
    </row>
    <row r="34" spans="1:1" ht="7.2" customHeight="1" x14ac:dyDescent="0.4">
      <c r="A34" s="64"/>
    </row>
    <row r="35" spans="1:1" ht="7.2" customHeight="1" x14ac:dyDescent="0.4">
      <c r="A35" s="64"/>
    </row>
    <row r="36" spans="1:1" ht="7.2" customHeight="1" x14ac:dyDescent="0.4">
      <c r="A36" s="64"/>
    </row>
    <row r="37" spans="1:1" ht="7.2" customHeight="1" x14ac:dyDescent="0.4">
      <c r="A37" s="64"/>
    </row>
    <row r="38" spans="1:1" ht="7.2" customHeight="1" x14ac:dyDescent="0.4">
      <c r="A38" s="64"/>
    </row>
    <row r="39" spans="1:1" ht="7.2" customHeight="1" x14ac:dyDescent="0.4">
      <c r="A39" s="64"/>
    </row>
    <row r="40" spans="1:1" ht="7.2" customHeight="1" x14ac:dyDescent="0.4">
      <c r="A40" s="64"/>
    </row>
    <row r="41" spans="1:1" ht="7.2" customHeight="1" x14ac:dyDescent="0.4">
      <c r="A41" s="64"/>
    </row>
    <row r="42" spans="1:1" ht="7.2" customHeight="1" x14ac:dyDescent="0.4">
      <c r="A42" s="64"/>
    </row>
    <row r="43" spans="1:1" ht="7.2" customHeight="1" x14ac:dyDescent="0.4">
      <c r="A43" s="64"/>
    </row>
    <row r="44" spans="1:1" ht="7.2" customHeight="1" x14ac:dyDescent="0.4">
      <c r="A44" s="64"/>
    </row>
    <row r="45" spans="1:1" ht="7.2" customHeight="1" x14ac:dyDescent="0.4">
      <c r="A45" s="64"/>
    </row>
    <row r="46" spans="1:1" ht="7.2" customHeight="1" x14ac:dyDescent="0.4">
      <c r="A46" s="64"/>
    </row>
    <row r="47" spans="1:1" ht="7.2" customHeight="1" x14ac:dyDescent="0.4">
      <c r="A47" s="64"/>
    </row>
    <row r="48" spans="1:1" ht="7.2" customHeight="1" x14ac:dyDescent="0.4">
      <c r="A48" s="64"/>
    </row>
    <row r="49" spans="1:1" ht="7.2" customHeight="1" x14ac:dyDescent="0.4">
      <c r="A49" s="64"/>
    </row>
    <row r="50" spans="1:1" ht="7.2" customHeight="1" x14ac:dyDescent="0.4">
      <c r="A50" s="64"/>
    </row>
    <row r="51" spans="1:1" ht="7.2" customHeight="1" x14ac:dyDescent="0.4">
      <c r="A51" s="64"/>
    </row>
    <row r="52" spans="1:1" ht="7.2" customHeight="1" x14ac:dyDescent="0.4">
      <c r="A52" s="64"/>
    </row>
    <row r="53" spans="1:1" ht="7.2" customHeight="1" x14ac:dyDescent="0.4">
      <c r="A53" s="64"/>
    </row>
    <row r="54" spans="1:1" ht="7.2" customHeight="1" x14ac:dyDescent="0.4">
      <c r="A54" s="64"/>
    </row>
    <row r="55" spans="1:1" ht="7.2" customHeight="1" x14ac:dyDescent="0.4">
      <c r="A55" s="64"/>
    </row>
    <row r="56" spans="1:1" ht="7.2" customHeight="1" x14ac:dyDescent="0.4">
      <c r="A56" s="64"/>
    </row>
    <row r="57" spans="1:1" ht="7.2" customHeight="1" x14ac:dyDescent="0.4">
      <c r="A57" s="64"/>
    </row>
    <row r="58" spans="1:1" ht="7.2" customHeight="1" x14ac:dyDescent="0.4">
      <c r="A58" s="64"/>
    </row>
    <row r="59" spans="1:1" ht="7.2" customHeight="1" x14ac:dyDescent="0.4">
      <c r="A59" s="64"/>
    </row>
    <row r="60" spans="1:1" ht="7.2" customHeight="1" x14ac:dyDescent="0.4">
      <c r="A60" s="64"/>
    </row>
    <row r="61" spans="1:1" ht="7.2" customHeight="1" x14ac:dyDescent="0.4">
      <c r="A61" s="64"/>
    </row>
    <row r="62" spans="1:1" ht="7.2" customHeight="1" x14ac:dyDescent="0.4">
      <c r="A62" s="64"/>
    </row>
    <row r="63" spans="1:1" ht="7.2" customHeight="1" x14ac:dyDescent="0.4">
      <c r="A63" s="64"/>
    </row>
    <row r="64" spans="1:1" ht="7.2" customHeight="1" x14ac:dyDescent="0.4">
      <c r="A64" s="64"/>
    </row>
    <row r="65" spans="1:1" ht="7.2" customHeight="1" x14ac:dyDescent="0.4">
      <c r="A65" s="64"/>
    </row>
    <row r="66" spans="1:1" ht="7.2" customHeight="1" x14ac:dyDescent="0.4">
      <c r="A66" s="64"/>
    </row>
    <row r="67" spans="1:1" ht="7.2" customHeight="1" x14ac:dyDescent="0.4">
      <c r="A67" s="64"/>
    </row>
    <row r="68" spans="1:1" ht="7.2" customHeight="1" x14ac:dyDescent="0.4">
      <c r="A68" s="64"/>
    </row>
    <row r="69" spans="1:1" ht="7.2" customHeight="1" x14ac:dyDescent="0.4">
      <c r="A69" s="64"/>
    </row>
    <row r="70" spans="1:1" ht="7.2" customHeight="1" x14ac:dyDescent="0.4">
      <c r="A70" s="64"/>
    </row>
    <row r="71" spans="1:1" ht="7.2" customHeight="1" x14ac:dyDescent="0.4">
      <c r="A71" s="64"/>
    </row>
    <row r="72" spans="1:1" ht="7.2" customHeight="1" x14ac:dyDescent="0.4">
      <c r="A72" s="64"/>
    </row>
    <row r="73" spans="1:1" ht="7.2" customHeight="1" x14ac:dyDescent="0.4">
      <c r="A73" s="64"/>
    </row>
    <row r="74" spans="1:1" ht="7.2" customHeight="1" x14ac:dyDescent="0.4">
      <c r="A74" s="64"/>
    </row>
    <row r="75" spans="1:1" ht="7.2" customHeight="1" x14ac:dyDescent="0.4">
      <c r="A75" s="64"/>
    </row>
    <row r="76" spans="1:1" ht="7.2" customHeight="1" x14ac:dyDescent="0.4">
      <c r="A76" s="64"/>
    </row>
    <row r="77" spans="1:1" ht="7.2" customHeight="1" x14ac:dyDescent="0.4"/>
    <row r="78" spans="1:1" ht="7.2" customHeight="1" x14ac:dyDescent="0.4"/>
    <row r="79" spans="1:1" ht="7.2" customHeight="1" x14ac:dyDescent="0.4"/>
    <row r="80" spans="1:1" ht="7.2" customHeight="1" x14ac:dyDescent="0.4"/>
    <row r="81" ht="7.2" customHeight="1" x14ac:dyDescent="0.4"/>
    <row r="82" ht="7.2" customHeight="1" x14ac:dyDescent="0.4"/>
  </sheetData>
  <mergeCells count="1">
    <mergeCell ref="A1:A7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O748"/>
  <sheetViews>
    <sheetView showGridLines="0" showRowColHeaders="0" tabSelected="1" workbookViewId="0">
      <pane ySplit="4" topLeftCell="A5" activePane="bottomLeft" state="frozen"/>
      <selection pane="bottomLeft" activeCell="M6" sqref="M6"/>
    </sheetView>
  </sheetViews>
  <sheetFormatPr defaultRowHeight="18" customHeight="1" x14ac:dyDescent="0.3"/>
  <cols>
    <col min="1" max="2" width="4.33203125" style="1" customWidth="1"/>
    <col min="3" max="3" width="44.44140625" style="1" customWidth="1"/>
    <col min="4" max="4" width="17.6640625" style="13" customWidth="1"/>
    <col min="5" max="6" width="9.33203125" style="13" bestFit="1" customWidth="1"/>
    <col min="7" max="7" width="21.33203125" style="15" bestFit="1" customWidth="1"/>
    <col min="8" max="8" width="12.77734375" style="15" bestFit="1" customWidth="1"/>
    <col min="9" max="9" width="20.77734375" style="1" bestFit="1" customWidth="1"/>
    <col min="10" max="10" width="18" style="1" bestFit="1" customWidth="1"/>
    <col min="11" max="11" width="21.77734375" style="1" bestFit="1" customWidth="1"/>
    <col min="12" max="12" width="9.77734375" style="5" bestFit="1" customWidth="1"/>
    <col min="13" max="13" width="11.77734375" style="5" bestFit="1" customWidth="1"/>
    <col min="14" max="14" width="10.5546875" style="1" bestFit="1" customWidth="1"/>
    <col min="15" max="16384" width="8.88671875" style="1"/>
  </cols>
  <sheetData>
    <row r="1" spans="1:15" s="7" customFormat="1" ht="35.4" customHeight="1" x14ac:dyDescent="0.3">
      <c r="A1" s="56"/>
      <c r="B1" s="56"/>
      <c r="C1" s="57" t="s">
        <v>140</v>
      </c>
      <c r="D1" s="58"/>
      <c r="E1" s="58"/>
      <c r="F1" s="58"/>
      <c r="G1" s="59"/>
      <c r="H1" s="59"/>
      <c r="I1" s="56"/>
      <c r="J1" s="56"/>
      <c r="K1" s="56"/>
      <c r="L1" s="60"/>
      <c r="M1" s="60"/>
      <c r="N1" s="61"/>
      <c r="O1" s="55"/>
    </row>
    <row r="2" spans="1:15" s="8" customFormat="1" ht="4.2" customHeight="1" x14ac:dyDescent="0.3">
      <c r="D2" s="12"/>
      <c r="E2" s="12"/>
      <c r="F2" s="12"/>
      <c r="G2" s="14"/>
      <c r="H2" s="14"/>
      <c r="L2" s="16"/>
      <c r="M2" s="16"/>
      <c r="N2" s="9"/>
    </row>
    <row r="3" spans="1:15" ht="18" customHeight="1" x14ac:dyDescent="0.3">
      <c r="N3" s="10"/>
    </row>
    <row r="4" spans="1:15" s="23" customFormat="1" ht="18" customHeight="1" x14ac:dyDescent="0.3">
      <c r="C4" s="23" t="s">
        <v>154</v>
      </c>
      <c r="D4" s="23" t="s">
        <v>153</v>
      </c>
      <c r="E4" s="23" t="s">
        <v>150</v>
      </c>
      <c r="F4" s="20" t="s">
        <v>0</v>
      </c>
      <c r="G4" s="20" t="s">
        <v>49</v>
      </c>
      <c r="H4" s="20" t="s">
        <v>50</v>
      </c>
      <c r="I4" s="24" t="s">
        <v>63</v>
      </c>
      <c r="J4" s="24" t="s">
        <v>46</v>
      </c>
      <c r="K4" s="23" t="s">
        <v>147</v>
      </c>
      <c r="L4" s="23" t="s">
        <v>2</v>
      </c>
      <c r="M4" s="23" t="s">
        <v>131</v>
      </c>
      <c r="N4" s="20"/>
    </row>
    <row r="5" spans="1:15" ht="18" customHeight="1" x14ac:dyDescent="0.3">
      <c r="C5" s="19"/>
      <c r="D5" s="19">
        <v>42</v>
      </c>
      <c r="E5" s="19" t="s">
        <v>151</v>
      </c>
      <c r="F5" s="20">
        <v>45944</v>
      </c>
      <c r="G5" s="20" t="s">
        <v>57</v>
      </c>
      <c r="H5" s="21">
        <v>2025</v>
      </c>
      <c r="I5" s="22">
        <v>0.33333333333333331</v>
      </c>
      <c r="J5" s="21" t="s">
        <v>47</v>
      </c>
      <c r="K5" s="19" t="s">
        <v>148</v>
      </c>
      <c r="L5" s="23" t="s">
        <v>17</v>
      </c>
      <c r="M5" s="23" t="s">
        <v>132</v>
      </c>
      <c r="N5" s="11"/>
    </row>
    <row r="6" spans="1:15" ht="18" customHeight="1" x14ac:dyDescent="0.3">
      <c r="C6" s="19"/>
      <c r="D6" s="19">
        <v>30</v>
      </c>
      <c r="E6" s="19" t="s">
        <v>152</v>
      </c>
      <c r="F6" s="20">
        <v>45945</v>
      </c>
      <c r="G6" s="20" t="s">
        <v>57</v>
      </c>
      <c r="H6" s="21">
        <v>2025</v>
      </c>
      <c r="I6" s="22">
        <v>0.45833333333333331</v>
      </c>
      <c r="J6" s="21" t="s">
        <v>145</v>
      </c>
      <c r="K6" s="19" t="s">
        <v>149</v>
      </c>
      <c r="L6" s="23" t="s">
        <v>17</v>
      </c>
      <c r="M6" s="23" t="s">
        <v>146</v>
      </c>
      <c r="N6" s="11"/>
    </row>
    <row r="7" spans="1:15" ht="18" customHeight="1" x14ac:dyDescent="0.3">
      <c r="C7" s="19"/>
      <c r="D7" s="19"/>
      <c r="E7" s="19"/>
      <c r="F7" s="20"/>
      <c r="G7" s="20"/>
      <c r="H7" s="21"/>
      <c r="I7" s="22"/>
      <c r="J7" s="21"/>
      <c r="K7" s="19"/>
      <c r="L7" s="23"/>
      <c r="M7" s="23"/>
      <c r="N7" s="11"/>
    </row>
    <row r="8" spans="1:15" ht="18" customHeight="1" x14ac:dyDescent="0.3">
      <c r="C8" s="19"/>
      <c r="D8" s="19"/>
      <c r="E8" s="19"/>
      <c r="F8" s="20"/>
      <c r="G8" s="20"/>
      <c r="H8" s="21"/>
      <c r="I8" s="22"/>
      <c r="J8" s="21"/>
      <c r="K8" s="19"/>
      <c r="L8" s="23"/>
      <c r="M8" s="23"/>
      <c r="N8" s="11"/>
    </row>
    <row r="9" spans="1:15" ht="18" customHeight="1" x14ac:dyDescent="0.3">
      <c r="C9" s="19"/>
      <c r="D9" s="19"/>
      <c r="E9" s="19"/>
      <c r="F9" s="20"/>
      <c r="G9" s="20"/>
      <c r="H9" s="21"/>
      <c r="I9" s="22"/>
      <c r="J9" s="21"/>
      <c r="K9" s="19"/>
      <c r="L9" s="23"/>
      <c r="M9" s="23"/>
      <c r="N9" s="11"/>
    </row>
    <row r="10" spans="1:15" ht="18" customHeight="1" x14ac:dyDescent="0.3">
      <c r="C10" s="19"/>
      <c r="D10" s="19"/>
      <c r="E10" s="19"/>
      <c r="F10" s="20"/>
      <c r="G10" s="20"/>
      <c r="H10" s="21"/>
      <c r="I10" s="22"/>
      <c r="J10" s="21"/>
      <c r="K10" s="19"/>
      <c r="L10" s="23"/>
      <c r="M10" s="23"/>
    </row>
    <row r="11" spans="1:15" ht="18" customHeight="1" x14ac:dyDescent="0.3">
      <c r="C11" s="19"/>
      <c r="D11" s="19"/>
      <c r="E11" s="19"/>
      <c r="F11" s="20"/>
      <c r="G11" s="20"/>
      <c r="H11" s="21"/>
      <c r="I11" s="22"/>
      <c r="J11" s="21"/>
      <c r="K11" s="19"/>
      <c r="L11" s="23"/>
      <c r="M11" s="23"/>
    </row>
    <row r="12" spans="1:15" ht="18" customHeight="1" x14ac:dyDescent="0.3">
      <c r="C12" s="19"/>
      <c r="D12" s="19"/>
      <c r="E12" s="19"/>
      <c r="F12" s="20"/>
      <c r="G12" s="20"/>
      <c r="H12" s="21"/>
      <c r="I12" s="22"/>
      <c r="J12" s="21"/>
      <c r="K12" s="19"/>
      <c r="L12" s="23"/>
      <c r="M12" s="23"/>
    </row>
    <row r="13" spans="1:15" ht="18" customHeight="1" x14ac:dyDescent="0.3">
      <c r="C13" s="19"/>
      <c r="D13" s="19"/>
      <c r="E13" s="19"/>
      <c r="F13" s="20"/>
      <c r="G13" s="20"/>
      <c r="H13" s="21"/>
      <c r="I13" s="22"/>
      <c r="J13" s="21"/>
      <c r="K13" s="19"/>
      <c r="L13" s="23"/>
      <c r="M13" s="23"/>
    </row>
    <row r="14" spans="1:15" ht="18" customHeight="1" x14ac:dyDescent="0.3">
      <c r="C14" s="19"/>
      <c r="D14" s="19"/>
      <c r="E14" s="19"/>
      <c r="F14" s="20"/>
      <c r="G14" s="20"/>
      <c r="H14" s="21"/>
      <c r="I14" s="22"/>
      <c r="J14" s="21"/>
      <c r="K14" s="19"/>
      <c r="L14" s="23"/>
      <c r="M14" s="23"/>
    </row>
    <row r="15" spans="1:15" ht="18" customHeight="1" x14ac:dyDescent="0.3">
      <c r="C15" s="19"/>
      <c r="D15" s="19"/>
      <c r="E15" s="19"/>
      <c r="F15" s="20"/>
      <c r="G15" s="20"/>
      <c r="H15" s="21"/>
      <c r="I15" s="22"/>
      <c r="J15" s="21"/>
      <c r="K15" s="19"/>
      <c r="L15" s="23"/>
      <c r="M15" s="23"/>
    </row>
    <row r="16" spans="1:15" ht="18" customHeight="1" x14ac:dyDescent="0.3">
      <c r="C16" s="19"/>
      <c r="D16" s="19"/>
      <c r="E16" s="19"/>
      <c r="F16" s="20"/>
      <c r="G16" s="20"/>
      <c r="H16" s="21"/>
      <c r="I16" s="22"/>
      <c r="J16" s="21"/>
      <c r="K16" s="19"/>
      <c r="L16" s="23"/>
      <c r="M16" s="23"/>
    </row>
    <row r="17" spans="3:13" ht="18" customHeight="1" x14ac:dyDescent="0.3">
      <c r="C17" s="19"/>
      <c r="D17" s="19"/>
      <c r="E17" s="19"/>
      <c r="F17" s="20"/>
      <c r="G17" s="20"/>
      <c r="H17" s="21"/>
      <c r="I17" s="22"/>
      <c r="J17" s="21"/>
      <c r="K17" s="19"/>
      <c r="L17" s="23"/>
      <c r="M17" s="23"/>
    </row>
    <row r="18" spans="3:13" ht="18" customHeight="1" x14ac:dyDescent="0.3">
      <c r="C18" s="19"/>
      <c r="D18" s="19"/>
      <c r="E18" s="19"/>
      <c r="F18" s="20"/>
      <c r="G18" s="20"/>
      <c r="H18" s="21"/>
      <c r="I18" s="22"/>
      <c r="J18" s="21"/>
      <c r="K18" s="19"/>
      <c r="L18" s="23"/>
      <c r="M18" s="23"/>
    </row>
    <row r="19" spans="3:13" ht="18" customHeight="1" x14ac:dyDescent="0.3">
      <c r="C19" s="19"/>
      <c r="D19" s="19"/>
      <c r="E19" s="19"/>
      <c r="F19" s="20"/>
      <c r="G19" s="20"/>
      <c r="H19" s="21"/>
      <c r="I19" s="22"/>
      <c r="J19" s="21"/>
      <c r="K19" s="19"/>
      <c r="L19" s="23"/>
      <c r="M19" s="23"/>
    </row>
    <row r="20" spans="3:13" ht="18" customHeight="1" x14ac:dyDescent="0.3">
      <c r="C20" s="19"/>
      <c r="D20" s="19"/>
      <c r="E20" s="19"/>
      <c r="F20" s="20"/>
      <c r="G20" s="20"/>
      <c r="H20" s="21"/>
      <c r="I20" s="22"/>
      <c r="J20" s="21"/>
      <c r="K20" s="19"/>
      <c r="L20" s="23"/>
      <c r="M20" s="23"/>
    </row>
    <row r="21" spans="3:13" ht="18" customHeight="1" x14ac:dyDescent="0.3">
      <c r="C21" s="19"/>
      <c r="D21" s="19"/>
      <c r="E21" s="19"/>
      <c r="F21" s="20"/>
      <c r="G21" s="20"/>
      <c r="H21" s="21"/>
      <c r="I21" s="22"/>
      <c r="J21" s="21"/>
      <c r="K21" s="19"/>
      <c r="L21" s="23"/>
      <c r="M21" s="23"/>
    </row>
    <row r="22" spans="3:13" ht="18" customHeight="1" x14ac:dyDescent="0.3">
      <c r="C22" s="19"/>
      <c r="D22" s="19"/>
      <c r="E22" s="19"/>
      <c r="F22" s="20"/>
      <c r="G22" s="20"/>
      <c r="H22" s="21"/>
      <c r="I22" s="22"/>
      <c r="J22" s="21"/>
      <c r="K22" s="19"/>
      <c r="L22" s="23"/>
      <c r="M22" s="23"/>
    </row>
    <row r="23" spans="3:13" ht="18" customHeight="1" x14ac:dyDescent="0.3">
      <c r="C23" s="19"/>
      <c r="D23" s="19"/>
      <c r="E23" s="19"/>
      <c r="F23" s="20"/>
      <c r="G23" s="20"/>
      <c r="H23" s="21"/>
      <c r="I23" s="22"/>
      <c r="J23" s="21"/>
      <c r="K23" s="19"/>
      <c r="L23" s="23"/>
      <c r="M23" s="23"/>
    </row>
    <row r="24" spans="3:13" ht="18" customHeight="1" x14ac:dyDescent="0.3">
      <c r="C24" s="19"/>
      <c r="D24" s="19"/>
      <c r="E24" s="19"/>
      <c r="F24" s="20"/>
      <c r="G24" s="20"/>
      <c r="H24" s="21"/>
      <c r="I24" s="22"/>
      <c r="J24" s="21"/>
      <c r="K24" s="19"/>
      <c r="L24" s="23"/>
      <c r="M24" s="23"/>
    </row>
    <row r="25" spans="3:13" ht="18" customHeight="1" x14ac:dyDescent="0.3">
      <c r="C25" s="19"/>
      <c r="D25" s="19"/>
      <c r="E25" s="19"/>
      <c r="F25" s="20"/>
      <c r="G25" s="20"/>
      <c r="H25" s="21"/>
      <c r="I25" s="22"/>
      <c r="J25" s="21"/>
      <c r="K25" s="19"/>
      <c r="L25" s="23"/>
      <c r="M25" s="23"/>
    </row>
    <row r="26" spans="3:13" ht="18" customHeight="1" x14ac:dyDescent="0.3">
      <c r="C26" s="19"/>
      <c r="D26" s="19"/>
      <c r="E26" s="19"/>
      <c r="F26" s="20"/>
      <c r="G26" s="20"/>
      <c r="H26" s="21"/>
      <c r="I26" s="22"/>
      <c r="J26" s="21"/>
      <c r="K26" s="19"/>
      <c r="L26" s="23"/>
      <c r="M26" s="23"/>
    </row>
    <row r="27" spans="3:13" ht="18" customHeight="1" x14ac:dyDescent="0.3">
      <c r="C27" s="19"/>
      <c r="D27" s="19"/>
      <c r="E27" s="19"/>
      <c r="F27" s="20"/>
      <c r="G27" s="20"/>
      <c r="H27" s="21"/>
      <c r="I27" s="22"/>
      <c r="J27" s="21"/>
      <c r="K27" s="19"/>
      <c r="L27" s="23"/>
      <c r="M27" s="23"/>
    </row>
    <row r="28" spans="3:13" ht="18" customHeight="1" x14ac:dyDescent="0.3">
      <c r="C28" s="19"/>
      <c r="D28" s="19"/>
      <c r="E28" s="19"/>
      <c r="F28" s="20"/>
      <c r="G28" s="20"/>
      <c r="H28" s="21"/>
      <c r="I28" s="22"/>
      <c r="J28" s="21"/>
      <c r="K28" s="19"/>
      <c r="L28" s="23"/>
      <c r="M28" s="23"/>
    </row>
    <row r="29" spans="3:13" ht="18" customHeight="1" x14ac:dyDescent="0.3">
      <c r="C29" s="19"/>
      <c r="D29" s="19"/>
      <c r="E29" s="19"/>
      <c r="F29" s="20"/>
      <c r="G29" s="20"/>
      <c r="H29" s="21"/>
      <c r="I29" s="22"/>
      <c r="J29" s="21"/>
      <c r="K29" s="19"/>
      <c r="L29" s="23"/>
      <c r="M29" s="23"/>
    </row>
    <row r="30" spans="3:13" ht="18" customHeight="1" x14ac:dyDescent="0.3">
      <c r="C30" s="19"/>
      <c r="D30" s="19"/>
      <c r="E30" s="19"/>
      <c r="F30" s="20"/>
      <c r="G30" s="20"/>
      <c r="H30" s="21"/>
      <c r="I30" s="22"/>
      <c r="J30" s="21"/>
      <c r="K30" s="19"/>
      <c r="L30" s="23"/>
      <c r="M30" s="23"/>
    </row>
    <row r="31" spans="3:13" ht="18" customHeight="1" x14ac:dyDescent="0.3">
      <c r="C31" s="19"/>
      <c r="D31" s="19"/>
      <c r="E31" s="19"/>
      <c r="F31" s="20"/>
      <c r="G31" s="20"/>
      <c r="H31" s="21"/>
      <c r="I31" s="22"/>
      <c r="J31" s="21"/>
      <c r="K31" s="19"/>
      <c r="L31" s="23"/>
      <c r="M31" s="23"/>
    </row>
    <row r="32" spans="3:13" ht="18" customHeight="1" x14ac:dyDescent="0.3">
      <c r="C32" s="19"/>
      <c r="D32" s="19"/>
      <c r="E32" s="19"/>
      <c r="F32" s="20"/>
      <c r="G32" s="20"/>
      <c r="H32" s="21"/>
      <c r="I32" s="22"/>
      <c r="J32" s="21"/>
      <c r="K32" s="19"/>
      <c r="L32" s="23"/>
      <c r="M32" s="23"/>
    </row>
    <row r="33" spans="3:13" ht="18" customHeight="1" x14ac:dyDescent="0.3">
      <c r="C33" s="19"/>
      <c r="D33" s="19"/>
      <c r="E33" s="19"/>
      <c r="F33" s="20"/>
      <c r="G33" s="20"/>
      <c r="H33" s="21"/>
      <c r="I33" s="22"/>
      <c r="J33" s="21"/>
      <c r="K33" s="19"/>
      <c r="L33" s="23"/>
      <c r="M33" s="23"/>
    </row>
    <row r="34" spans="3:13" ht="18" customHeight="1" x14ac:dyDescent="0.3">
      <c r="C34" s="19"/>
      <c r="D34" s="19"/>
      <c r="E34" s="19"/>
      <c r="F34" s="20"/>
      <c r="G34" s="20"/>
      <c r="H34" s="21"/>
      <c r="I34" s="22"/>
      <c r="J34" s="21"/>
      <c r="K34" s="19"/>
      <c r="L34" s="23"/>
      <c r="M34" s="23"/>
    </row>
    <row r="35" spans="3:13" ht="18" customHeight="1" x14ac:dyDescent="0.3">
      <c r="C35" s="19"/>
      <c r="D35" s="19"/>
      <c r="E35" s="19"/>
      <c r="F35" s="20"/>
      <c r="G35" s="20"/>
      <c r="H35" s="21"/>
      <c r="I35" s="22"/>
      <c r="J35" s="21"/>
      <c r="K35" s="19"/>
      <c r="L35" s="23"/>
      <c r="M35" s="23"/>
    </row>
    <row r="36" spans="3:13" ht="18" customHeight="1" x14ac:dyDescent="0.3">
      <c r="C36" s="19"/>
      <c r="D36" s="19"/>
      <c r="E36" s="19"/>
      <c r="F36" s="20"/>
      <c r="G36" s="20"/>
      <c r="H36" s="21"/>
      <c r="I36" s="22"/>
      <c r="J36" s="21"/>
      <c r="K36" s="19"/>
      <c r="L36" s="23"/>
      <c r="M36" s="23"/>
    </row>
    <row r="37" spans="3:13" ht="18" customHeight="1" x14ac:dyDescent="0.3">
      <c r="C37" s="19"/>
      <c r="D37" s="19"/>
      <c r="E37" s="19"/>
      <c r="F37" s="20"/>
      <c r="G37" s="20"/>
      <c r="H37" s="21"/>
      <c r="I37" s="22"/>
      <c r="J37" s="21"/>
      <c r="K37" s="19"/>
      <c r="L37" s="23"/>
      <c r="M37" s="23"/>
    </row>
    <row r="38" spans="3:13" ht="18" customHeight="1" x14ac:dyDescent="0.3">
      <c r="C38" s="19"/>
      <c r="D38" s="19"/>
      <c r="E38" s="19"/>
      <c r="F38" s="20"/>
      <c r="G38" s="20"/>
      <c r="H38" s="21"/>
      <c r="I38" s="22"/>
      <c r="J38" s="21"/>
      <c r="K38" s="19"/>
      <c r="L38" s="23"/>
      <c r="M38" s="23"/>
    </row>
    <row r="39" spans="3:13" ht="18" customHeight="1" x14ac:dyDescent="0.3">
      <c r="C39" s="19"/>
      <c r="D39" s="19"/>
      <c r="E39" s="19"/>
      <c r="F39" s="20"/>
      <c r="G39" s="20"/>
      <c r="H39" s="21"/>
      <c r="I39" s="22"/>
      <c r="J39" s="21"/>
      <c r="K39" s="19"/>
      <c r="L39" s="23"/>
      <c r="M39" s="23"/>
    </row>
    <row r="40" spans="3:13" ht="18" customHeight="1" x14ac:dyDescent="0.3">
      <c r="C40" s="19"/>
      <c r="D40" s="19"/>
      <c r="E40" s="19"/>
      <c r="F40" s="20"/>
      <c r="G40" s="20"/>
      <c r="H40" s="21"/>
      <c r="I40" s="22"/>
      <c r="J40" s="21"/>
      <c r="K40" s="19"/>
      <c r="L40" s="23"/>
      <c r="M40" s="23"/>
    </row>
    <row r="41" spans="3:13" ht="18" customHeight="1" x14ac:dyDescent="0.3">
      <c r="C41" s="19"/>
      <c r="D41" s="19"/>
      <c r="E41" s="19"/>
      <c r="F41" s="20"/>
      <c r="G41" s="20"/>
      <c r="H41" s="21"/>
      <c r="I41" s="22"/>
      <c r="J41" s="21"/>
      <c r="K41" s="19"/>
      <c r="L41" s="23"/>
      <c r="M41" s="23"/>
    </row>
    <row r="42" spans="3:13" ht="18" customHeight="1" x14ac:dyDescent="0.3">
      <c r="C42" s="19"/>
      <c r="D42" s="19"/>
      <c r="E42" s="19"/>
      <c r="F42" s="20"/>
      <c r="G42" s="20"/>
      <c r="H42" s="21"/>
      <c r="I42" s="22"/>
      <c r="J42" s="21"/>
      <c r="K42" s="19"/>
      <c r="L42" s="23"/>
      <c r="M42" s="23"/>
    </row>
    <row r="43" spans="3:13" ht="18" customHeight="1" x14ac:dyDescent="0.3">
      <c r="C43" s="19"/>
      <c r="D43" s="19"/>
      <c r="E43" s="19"/>
      <c r="F43" s="20"/>
      <c r="G43" s="20"/>
      <c r="H43" s="21"/>
      <c r="I43" s="22"/>
      <c r="J43" s="21"/>
      <c r="K43" s="19"/>
      <c r="L43" s="23"/>
      <c r="M43" s="23"/>
    </row>
    <row r="44" spans="3:13" ht="18" customHeight="1" x14ac:dyDescent="0.3">
      <c r="C44" s="19"/>
      <c r="D44" s="19"/>
      <c r="E44" s="19"/>
      <c r="F44" s="20"/>
      <c r="G44" s="20"/>
      <c r="H44" s="21"/>
      <c r="I44" s="22"/>
      <c r="J44" s="21"/>
      <c r="K44" s="19"/>
      <c r="L44" s="23"/>
      <c r="M44" s="23"/>
    </row>
    <row r="45" spans="3:13" ht="18" customHeight="1" x14ac:dyDescent="0.3">
      <c r="C45" s="19"/>
      <c r="D45" s="19"/>
      <c r="E45" s="19"/>
      <c r="F45" s="20"/>
      <c r="G45" s="20"/>
      <c r="H45" s="21"/>
      <c r="I45" s="22"/>
      <c r="J45" s="21"/>
      <c r="K45" s="19"/>
      <c r="L45" s="23"/>
      <c r="M45" s="23"/>
    </row>
    <row r="46" spans="3:13" ht="18" customHeight="1" x14ac:dyDescent="0.3">
      <c r="C46" s="19"/>
      <c r="D46" s="19"/>
      <c r="E46" s="19"/>
      <c r="F46" s="20"/>
      <c r="G46" s="20"/>
      <c r="H46" s="21"/>
      <c r="I46" s="22"/>
      <c r="J46" s="21"/>
      <c r="K46" s="19"/>
      <c r="L46" s="23"/>
      <c r="M46" s="23"/>
    </row>
    <row r="47" spans="3:13" ht="18" customHeight="1" x14ac:dyDescent="0.3">
      <c r="C47" s="19"/>
      <c r="D47" s="19"/>
      <c r="E47" s="19"/>
      <c r="F47" s="20"/>
      <c r="G47" s="20"/>
      <c r="H47" s="21"/>
      <c r="I47" s="22"/>
      <c r="J47" s="21"/>
      <c r="K47" s="19"/>
      <c r="L47" s="23"/>
      <c r="M47" s="23"/>
    </row>
    <row r="48" spans="3:13" ht="18" customHeight="1" x14ac:dyDescent="0.3">
      <c r="C48" s="19"/>
      <c r="D48" s="19"/>
      <c r="E48" s="19"/>
      <c r="F48" s="20"/>
      <c r="G48" s="20"/>
      <c r="H48" s="21"/>
      <c r="I48" s="22"/>
      <c r="J48" s="21"/>
      <c r="K48" s="19"/>
      <c r="L48" s="23"/>
      <c r="M48" s="23"/>
    </row>
    <row r="49" spans="3:13" ht="18" customHeight="1" x14ac:dyDescent="0.3">
      <c r="C49" s="19"/>
      <c r="D49" s="19"/>
      <c r="E49" s="19"/>
      <c r="F49" s="20"/>
      <c r="G49" s="20"/>
      <c r="H49" s="21"/>
      <c r="I49" s="22"/>
      <c r="J49" s="21"/>
      <c r="K49" s="19"/>
      <c r="L49" s="23"/>
      <c r="M49" s="23"/>
    </row>
    <row r="50" spans="3:13" ht="18" customHeight="1" x14ac:dyDescent="0.3">
      <c r="C50" s="19"/>
      <c r="D50" s="19"/>
      <c r="E50" s="19"/>
      <c r="F50" s="20"/>
      <c r="G50" s="20"/>
      <c r="H50" s="21"/>
      <c r="I50" s="22"/>
      <c r="J50" s="21"/>
      <c r="K50" s="19"/>
      <c r="L50" s="23"/>
      <c r="M50" s="23"/>
    </row>
    <row r="51" spans="3:13" ht="18" customHeight="1" x14ac:dyDescent="0.3">
      <c r="C51" s="19"/>
      <c r="D51" s="19"/>
      <c r="E51" s="19"/>
      <c r="F51" s="20"/>
      <c r="G51" s="20"/>
      <c r="H51" s="21"/>
      <c r="I51" s="22"/>
      <c r="J51" s="21"/>
      <c r="K51" s="19"/>
      <c r="L51" s="23"/>
      <c r="M51" s="23"/>
    </row>
    <row r="52" spans="3:13" ht="18" customHeight="1" x14ac:dyDescent="0.3">
      <c r="C52" s="19"/>
      <c r="D52" s="19"/>
      <c r="E52" s="19"/>
      <c r="F52" s="20"/>
      <c r="G52" s="20"/>
      <c r="H52" s="21"/>
      <c r="I52" s="22"/>
      <c r="J52" s="21"/>
      <c r="K52" s="19"/>
      <c r="L52" s="23"/>
      <c r="M52" s="23"/>
    </row>
    <row r="53" spans="3:13" ht="18" customHeight="1" x14ac:dyDescent="0.3">
      <c r="C53" s="19"/>
      <c r="D53" s="19"/>
      <c r="E53" s="19"/>
      <c r="F53" s="20"/>
      <c r="G53" s="20"/>
      <c r="H53" s="21"/>
      <c r="I53" s="22"/>
      <c r="J53" s="21"/>
      <c r="K53" s="19"/>
      <c r="L53" s="23"/>
      <c r="M53" s="23"/>
    </row>
    <row r="54" spans="3:13" ht="18" customHeight="1" x14ac:dyDescent="0.3">
      <c r="C54" s="19"/>
      <c r="D54" s="19"/>
      <c r="E54" s="19"/>
      <c r="F54" s="20"/>
      <c r="G54" s="20"/>
      <c r="H54" s="21"/>
      <c r="I54" s="22"/>
      <c r="J54" s="21"/>
      <c r="K54" s="19"/>
      <c r="L54" s="23"/>
      <c r="M54" s="23"/>
    </row>
    <row r="55" spans="3:13" ht="18" customHeight="1" x14ac:dyDescent="0.3">
      <c r="C55" s="19"/>
      <c r="D55" s="19"/>
      <c r="E55" s="19"/>
      <c r="F55" s="20"/>
      <c r="G55" s="20"/>
      <c r="H55" s="21"/>
      <c r="I55" s="22"/>
      <c r="J55" s="21"/>
      <c r="K55" s="19"/>
      <c r="L55" s="23"/>
      <c r="M55" s="23"/>
    </row>
    <row r="56" spans="3:13" ht="18" customHeight="1" x14ac:dyDescent="0.3">
      <c r="C56" s="19"/>
      <c r="D56" s="19"/>
      <c r="E56" s="19"/>
      <c r="F56" s="20"/>
      <c r="G56" s="20"/>
      <c r="H56" s="21"/>
      <c r="I56" s="22"/>
      <c r="J56" s="21"/>
      <c r="K56" s="19"/>
      <c r="L56" s="23"/>
      <c r="M56" s="23"/>
    </row>
    <row r="57" spans="3:13" ht="18" customHeight="1" x14ac:dyDescent="0.3">
      <c r="C57" s="19"/>
      <c r="D57" s="19"/>
      <c r="E57" s="19"/>
      <c r="F57" s="20"/>
      <c r="G57" s="20"/>
      <c r="H57" s="21"/>
      <c r="I57" s="22"/>
      <c r="J57" s="21"/>
      <c r="K57" s="19"/>
      <c r="L57" s="23"/>
      <c r="M57" s="23"/>
    </row>
    <row r="58" spans="3:13" ht="18" customHeight="1" x14ac:dyDescent="0.3">
      <c r="C58" s="19"/>
      <c r="D58" s="19"/>
      <c r="E58" s="19"/>
      <c r="F58" s="20"/>
      <c r="G58" s="20"/>
      <c r="H58" s="21"/>
      <c r="I58" s="22"/>
      <c r="J58" s="21"/>
      <c r="K58" s="19"/>
      <c r="L58" s="23"/>
      <c r="M58" s="23"/>
    </row>
    <row r="59" spans="3:13" ht="18" customHeight="1" x14ac:dyDescent="0.3">
      <c r="C59" s="19"/>
      <c r="D59" s="19"/>
      <c r="E59" s="19"/>
      <c r="F59" s="20"/>
      <c r="G59" s="20"/>
      <c r="H59" s="21"/>
      <c r="I59" s="22"/>
      <c r="J59" s="21"/>
      <c r="K59" s="19"/>
      <c r="L59" s="23"/>
      <c r="M59" s="23"/>
    </row>
    <row r="60" spans="3:13" ht="18" customHeight="1" x14ac:dyDescent="0.3">
      <c r="C60" s="19"/>
      <c r="D60" s="19"/>
      <c r="E60" s="19"/>
      <c r="F60" s="20"/>
      <c r="G60" s="20"/>
      <c r="H60" s="21"/>
      <c r="I60" s="22"/>
      <c r="J60" s="21"/>
      <c r="K60" s="19"/>
      <c r="L60" s="23"/>
      <c r="M60" s="23"/>
    </row>
    <row r="61" spans="3:13" ht="18" customHeight="1" x14ac:dyDescent="0.3">
      <c r="C61" s="19"/>
      <c r="D61" s="19"/>
      <c r="E61" s="19"/>
      <c r="F61" s="20"/>
      <c r="G61" s="20"/>
      <c r="H61" s="21"/>
      <c r="I61" s="22"/>
      <c r="J61" s="21"/>
      <c r="K61" s="19"/>
      <c r="L61" s="23"/>
      <c r="M61" s="23"/>
    </row>
    <row r="62" spans="3:13" ht="18" customHeight="1" x14ac:dyDescent="0.3">
      <c r="C62" s="19"/>
      <c r="D62" s="19"/>
      <c r="E62" s="19"/>
      <c r="F62" s="20"/>
      <c r="G62" s="20"/>
      <c r="H62" s="21"/>
      <c r="I62" s="22"/>
      <c r="J62" s="21"/>
      <c r="K62" s="19"/>
      <c r="L62" s="23"/>
      <c r="M62" s="23"/>
    </row>
    <row r="63" spans="3:13" ht="18" customHeight="1" x14ac:dyDescent="0.3">
      <c r="C63" s="19"/>
      <c r="D63" s="19"/>
      <c r="E63" s="19"/>
      <c r="F63" s="20"/>
      <c r="G63" s="20"/>
      <c r="H63" s="21"/>
      <c r="I63" s="22"/>
      <c r="J63" s="21"/>
      <c r="K63" s="19"/>
      <c r="L63" s="23"/>
      <c r="M63" s="23"/>
    </row>
    <row r="64" spans="3:13" ht="18" customHeight="1" x14ac:dyDescent="0.3">
      <c r="C64" s="19"/>
      <c r="D64" s="19"/>
      <c r="E64" s="19"/>
      <c r="F64" s="20"/>
      <c r="G64" s="20"/>
      <c r="H64" s="21"/>
      <c r="I64" s="22"/>
      <c r="J64" s="21"/>
      <c r="K64" s="19"/>
      <c r="L64" s="23"/>
      <c r="M64" s="23"/>
    </row>
    <row r="65" spans="3:13" ht="18" customHeight="1" x14ac:dyDescent="0.3">
      <c r="C65" s="19"/>
      <c r="D65" s="19"/>
      <c r="E65" s="19"/>
      <c r="F65" s="20"/>
      <c r="G65" s="20"/>
      <c r="H65" s="21"/>
      <c r="I65" s="22"/>
      <c r="J65" s="21"/>
      <c r="K65" s="19"/>
      <c r="L65" s="23"/>
      <c r="M65" s="23"/>
    </row>
    <row r="66" spans="3:13" ht="18" customHeight="1" x14ac:dyDescent="0.3">
      <c r="C66" s="19"/>
      <c r="D66" s="19"/>
      <c r="E66" s="19"/>
      <c r="F66" s="20"/>
      <c r="G66" s="20"/>
      <c r="H66" s="21"/>
      <c r="I66" s="22"/>
      <c r="J66" s="21"/>
      <c r="K66" s="19"/>
      <c r="L66" s="23"/>
      <c r="M66" s="23"/>
    </row>
    <row r="67" spans="3:13" ht="18" customHeight="1" x14ac:dyDescent="0.3">
      <c r="C67" s="19"/>
      <c r="D67" s="19"/>
      <c r="E67" s="19"/>
      <c r="F67" s="20"/>
      <c r="G67" s="20"/>
      <c r="H67" s="21"/>
      <c r="I67" s="22"/>
      <c r="J67" s="21"/>
      <c r="K67" s="19"/>
      <c r="L67" s="23"/>
      <c r="M67" s="23"/>
    </row>
    <row r="68" spans="3:13" ht="18" customHeight="1" x14ac:dyDescent="0.3">
      <c r="C68" s="19"/>
      <c r="D68" s="19"/>
      <c r="E68" s="19"/>
      <c r="F68" s="20"/>
      <c r="G68" s="20"/>
      <c r="H68" s="21"/>
      <c r="I68" s="22"/>
      <c r="J68" s="21"/>
      <c r="K68" s="19"/>
      <c r="L68" s="23"/>
      <c r="M68" s="23"/>
    </row>
    <row r="69" spans="3:13" ht="18" customHeight="1" x14ac:dyDescent="0.3">
      <c r="C69" s="19"/>
      <c r="D69" s="19"/>
      <c r="E69" s="19"/>
      <c r="F69" s="20"/>
      <c r="G69" s="20"/>
      <c r="H69" s="21"/>
      <c r="I69" s="22"/>
      <c r="J69" s="21"/>
      <c r="K69" s="19"/>
      <c r="L69" s="23"/>
      <c r="M69" s="23"/>
    </row>
    <row r="70" spans="3:13" ht="18" customHeight="1" x14ac:dyDescent="0.3">
      <c r="C70" s="19"/>
      <c r="D70" s="19"/>
      <c r="E70" s="19"/>
      <c r="F70" s="20"/>
      <c r="G70" s="20"/>
      <c r="H70" s="21"/>
      <c r="I70" s="22"/>
      <c r="J70" s="21"/>
      <c r="K70" s="19"/>
      <c r="L70" s="23"/>
      <c r="M70" s="23"/>
    </row>
    <row r="71" spans="3:13" ht="18" customHeight="1" x14ac:dyDescent="0.3">
      <c r="C71" s="19"/>
      <c r="D71" s="19"/>
      <c r="E71" s="19"/>
      <c r="F71" s="20"/>
      <c r="G71" s="20"/>
      <c r="H71" s="21"/>
      <c r="I71" s="22"/>
      <c r="J71" s="21"/>
      <c r="K71" s="19"/>
      <c r="L71" s="23"/>
      <c r="M71" s="23"/>
    </row>
    <row r="72" spans="3:13" ht="18" customHeight="1" x14ac:dyDescent="0.3">
      <c r="C72" s="19"/>
      <c r="D72" s="19"/>
      <c r="E72" s="19"/>
      <c r="F72" s="20"/>
      <c r="G72" s="20"/>
      <c r="H72" s="21"/>
      <c r="I72" s="22"/>
      <c r="J72" s="21"/>
      <c r="K72" s="19"/>
      <c r="L72" s="23"/>
      <c r="M72" s="23"/>
    </row>
    <row r="73" spans="3:13" ht="18" customHeight="1" x14ac:dyDescent="0.3">
      <c r="C73" s="19"/>
      <c r="D73" s="19"/>
      <c r="E73" s="19"/>
      <c r="F73" s="20"/>
      <c r="G73" s="20"/>
      <c r="H73" s="21"/>
      <c r="I73" s="22"/>
      <c r="J73" s="21"/>
      <c r="K73" s="19"/>
      <c r="L73" s="23"/>
      <c r="M73" s="23"/>
    </row>
    <row r="74" spans="3:13" ht="18" customHeight="1" x14ac:dyDescent="0.3">
      <c r="C74" s="19"/>
      <c r="D74" s="19"/>
      <c r="E74" s="19"/>
      <c r="F74" s="20"/>
      <c r="G74" s="20"/>
      <c r="H74" s="21"/>
      <c r="I74" s="22"/>
      <c r="J74" s="21"/>
      <c r="K74" s="19"/>
      <c r="L74" s="23"/>
      <c r="M74" s="23"/>
    </row>
    <row r="75" spans="3:13" ht="18" customHeight="1" x14ac:dyDescent="0.3">
      <c r="C75" s="19"/>
      <c r="D75" s="19"/>
      <c r="E75" s="19"/>
      <c r="F75" s="20"/>
      <c r="G75" s="20"/>
      <c r="H75" s="21"/>
      <c r="I75" s="22"/>
      <c r="J75" s="21"/>
      <c r="K75" s="19"/>
      <c r="L75" s="23"/>
      <c r="M75" s="23"/>
    </row>
    <row r="76" spans="3:13" ht="18" customHeight="1" x14ac:dyDescent="0.3">
      <c r="C76" s="19"/>
      <c r="D76" s="19"/>
      <c r="E76" s="19"/>
      <c r="F76" s="20"/>
      <c r="G76" s="20"/>
      <c r="H76" s="21"/>
      <c r="I76" s="22"/>
      <c r="J76" s="21"/>
      <c r="K76" s="19"/>
      <c r="L76" s="23"/>
      <c r="M76" s="23"/>
    </row>
    <row r="77" spans="3:13" ht="18" customHeight="1" x14ac:dyDescent="0.3">
      <c r="C77" s="19"/>
      <c r="D77" s="19"/>
      <c r="E77" s="19"/>
      <c r="F77" s="20"/>
      <c r="G77" s="20"/>
      <c r="H77" s="21"/>
      <c r="I77" s="22"/>
      <c r="J77" s="21"/>
      <c r="K77" s="19"/>
      <c r="L77" s="23"/>
      <c r="M77" s="23"/>
    </row>
    <row r="78" spans="3:13" ht="18" customHeight="1" x14ac:dyDescent="0.3">
      <c r="C78" s="19"/>
      <c r="D78" s="19"/>
      <c r="E78" s="19"/>
      <c r="F78" s="20"/>
      <c r="G78" s="20"/>
      <c r="H78" s="21"/>
      <c r="I78" s="22"/>
      <c r="J78" s="21"/>
      <c r="K78" s="19"/>
      <c r="L78" s="23"/>
      <c r="M78" s="23"/>
    </row>
    <row r="79" spans="3:13" ht="18" customHeight="1" x14ac:dyDescent="0.3">
      <c r="C79" s="19"/>
      <c r="D79" s="19"/>
      <c r="E79" s="19"/>
      <c r="F79" s="20"/>
      <c r="G79" s="20"/>
      <c r="H79" s="21"/>
      <c r="I79" s="22"/>
      <c r="J79" s="21"/>
      <c r="K79" s="19"/>
      <c r="L79" s="23"/>
      <c r="M79" s="23"/>
    </row>
    <row r="80" spans="3:13" ht="18" customHeight="1" x14ac:dyDescent="0.3">
      <c r="C80" s="19"/>
      <c r="D80" s="19"/>
      <c r="E80" s="19"/>
      <c r="F80" s="20"/>
      <c r="G80" s="20"/>
      <c r="H80" s="21"/>
      <c r="I80" s="22"/>
      <c r="J80" s="21"/>
      <c r="K80" s="19"/>
      <c r="L80" s="23"/>
      <c r="M80" s="23"/>
    </row>
    <row r="81" spans="3:13" ht="18" customHeight="1" x14ac:dyDescent="0.3">
      <c r="C81" s="19"/>
      <c r="D81" s="19"/>
      <c r="E81" s="19"/>
      <c r="F81" s="20"/>
      <c r="G81" s="20"/>
      <c r="H81" s="21"/>
      <c r="I81" s="22"/>
      <c r="J81" s="21"/>
      <c r="K81" s="19"/>
      <c r="L81" s="23"/>
      <c r="M81" s="23"/>
    </row>
    <row r="82" spans="3:13" ht="18" customHeight="1" x14ac:dyDescent="0.3">
      <c r="C82" s="19"/>
      <c r="D82" s="19"/>
      <c r="E82" s="19"/>
      <c r="F82" s="20"/>
      <c r="G82" s="20"/>
      <c r="H82" s="21"/>
      <c r="I82" s="22"/>
      <c r="J82" s="21"/>
      <c r="K82" s="19"/>
      <c r="L82" s="23"/>
      <c r="M82" s="23"/>
    </row>
    <row r="83" spans="3:13" ht="18" customHeight="1" x14ac:dyDescent="0.3">
      <c r="C83" s="19"/>
      <c r="D83" s="19"/>
      <c r="E83" s="19"/>
      <c r="F83" s="20"/>
      <c r="G83" s="20"/>
      <c r="H83" s="21"/>
      <c r="I83" s="22"/>
      <c r="J83" s="21"/>
      <c r="K83" s="19"/>
      <c r="L83" s="23"/>
      <c r="M83" s="23"/>
    </row>
    <row r="84" spans="3:13" ht="18" customHeight="1" x14ac:dyDescent="0.3">
      <c r="C84" s="19"/>
      <c r="D84" s="19"/>
      <c r="E84" s="19"/>
      <c r="F84" s="20"/>
      <c r="G84" s="20"/>
      <c r="H84" s="21"/>
      <c r="I84" s="22"/>
      <c r="J84" s="21"/>
      <c r="K84" s="19"/>
      <c r="L84" s="23"/>
      <c r="M84" s="23"/>
    </row>
    <row r="85" spans="3:13" ht="18" customHeight="1" x14ac:dyDescent="0.3">
      <c r="C85" s="19"/>
      <c r="D85" s="19"/>
      <c r="E85" s="19"/>
      <c r="F85" s="20"/>
      <c r="G85" s="20"/>
      <c r="H85" s="21"/>
      <c r="I85" s="22"/>
      <c r="J85" s="21"/>
      <c r="K85" s="19"/>
      <c r="L85" s="23"/>
      <c r="M85" s="23"/>
    </row>
    <row r="86" spans="3:13" ht="18" customHeight="1" x14ac:dyDescent="0.3">
      <c r="C86" s="19"/>
      <c r="D86" s="19"/>
      <c r="E86" s="19"/>
      <c r="F86" s="20"/>
      <c r="G86" s="20"/>
      <c r="H86" s="21"/>
      <c r="I86" s="22"/>
      <c r="J86" s="21"/>
      <c r="K86" s="19"/>
      <c r="L86" s="23"/>
      <c r="M86" s="23"/>
    </row>
    <row r="87" spans="3:13" ht="18" customHeight="1" x14ac:dyDescent="0.3">
      <c r="C87" s="19"/>
      <c r="D87" s="19"/>
      <c r="E87" s="19"/>
      <c r="F87" s="20"/>
      <c r="G87" s="20"/>
      <c r="H87" s="21"/>
      <c r="I87" s="22"/>
      <c r="J87" s="21"/>
      <c r="K87" s="19"/>
      <c r="L87" s="23"/>
      <c r="M87" s="23"/>
    </row>
    <row r="88" spans="3:13" ht="18" customHeight="1" x14ac:dyDescent="0.3">
      <c r="C88" s="19"/>
      <c r="D88" s="19"/>
      <c r="E88" s="19"/>
      <c r="F88" s="20"/>
      <c r="G88" s="20"/>
      <c r="H88" s="21"/>
      <c r="I88" s="22"/>
      <c r="J88" s="21"/>
      <c r="K88" s="19"/>
      <c r="L88" s="23"/>
      <c r="M88" s="23"/>
    </row>
    <row r="89" spans="3:13" ht="18" customHeight="1" x14ac:dyDescent="0.3">
      <c r="C89" s="19"/>
      <c r="D89" s="19"/>
      <c r="E89" s="19"/>
      <c r="F89" s="20"/>
      <c r="G89" s="20"/>
      <c r="H89" s="21"/>
      <c r="I89" s="22"/>
      <c r="J89" s="21"/>
      <c r="K89" s="19"/>
      <c r="L89" s="23"/>
      <c r="M89" s="23"/>
    </row>
    <row r="90" spans="3:13" ht="18" customHeight="1" x14ac:dyDescent="0.3">
      <c r="C90" s="19"/>
      <c r="D90" s="19"/>
      <c r="E90" s="19"/>
      <c r="F90" s="20"/>
      <c r="G90" s="20"/>
      <c r="H90" s="21"/>
      <c r="I90" s="22"/>
      <c r="J90" s="21"/>
      <c r="K90" s="19"/>
      <c r="L90" s="23"/>
      <c r="M90" s="23"/>
    </row>
    <row r="91" spans="3:13" ht="18" customHeight="1" x14ac:dyDescent="0.3">
      <c r="C91" s="19"/>
      <c r="D91" s="19"/>
      <c r="E91" s="19"/>
      <c r="F91" s="20"/>
      <c r="G91" s="20"/>
      <c r="H91" s="21"/>
      <c r="I91" s="22"/>
      <c r="J91" s="21"/>
      <c r="K91" s="19"/>
      <c r="L91" s="23"/>
      <c r="M91" s="23"/>
    </row>
    <row r="92" spans="3:13" ht="18" customHeight="1" x14ac:dyDescent="0.3">
      <c r="C92" s="19"/>
      <c r="D92" s="19"/>
      <c r="E92" s="19"/>
      <c r="F92" s="20"/>
      <c r="G92" s="20"/>
      <c r="H92" s="21"/>
      <c r="I92" s="22"/>
      <c r="J92" s="21"/>
      <c r="K92" s="19"/>
      <c r="L92" s="23"/>
      <c r="M92" s="23"/>
    </row>
    <row r="93" spans="3:13" ht="18" customHeight="1" x14ac:dyDescent="0.3">
      <c r="C93" s="19"/>
      <c r="D93" s="19"/>
      <c r="E93" s="19"/>
      <c r="F93" s="20"/>
      <c r="G93" s="20"/>
      <c r="H93" s="21"/>
      <c r="I93" s="22"/>
      <c r="J93" s="21"/>
      <c r="K93" s="19"/>
      <c r="L93" s="23"/>
      <c r="M93" s="23"/>
    </row>
    <row r="94" spans="3:13" ht="18" customHeight="1" x14ac:dyDescent="0.3">
      <c r="C94" s="19"/>
      <c r="D94" s="19"/>
      <c r="E94" s="19"/>
      <c r="F94" s="20"/>
      <c r="G94" s="20"/>
      <c r="H94" s="21"/>
      <c r="I94" s="22"/>
      <c r="J94" s="21"/>
      <c r="K94" s="19"/>
      <c r="L94" s="23"/>
      <c r="M94" s="23"/>
    </row>
    <row r="95" spans="3:13" ht="18" customHeight="1" x14ac:dyDescent="0.3">
      <c r="C95" s="19"/>
      <c r="D95" s="19"/>
      <c r="E95" s="19"/>
      <c r="F95" s="20"/>
      <c r="G95" s="20"/>
      <c r="H95" s="21"/>
      <c r="I95" s="22"/>
      <c r="J95" s="21"/>
      <c r="K95" s="19"/>
      <c r="L95" s="23"/>
      <c r="M95" s="23"/>
    </row>
    <row r="96" spans="3:13" ht="18" customHeight="1" x14ac:dyDescent="0.3">
      <c r="C96" s="19"/>
      <c r="D96" s="19"/>
      <c r="E96" s="19"/>
      <c r="F96" s="20"/>
      <c r="G96" s="20"/>
      <c r="H96" s="21"/>
      <c r="I96" s="22"/>
      <c r="J96" s="21"/>
      <c r="K96" s="19"/>
      <c r="L96" s="23"/>
      <c r="M96" s="23"/>
    </row>
    <row r="97" spans="3:15" ht="18" customHeight="1" x14ac:dyDescent="0.3">
      <c r="C97" s="19"/>
      <c r="D97" s="19"/>
      <c r="E97" s="19"/>
      <c r="F97" s="20"/>
      <c r="G97" s="20"/>
      <c r="H97" s="21"/>
      <c r="I97" s="22"/>
      <c r="J97" s="21"/>
      <c r="K97" s="19"/>
      <c r="L97" s="23"/>
      <c r="M97" s="23"/>
    </row>
    <row r="98" spans="3:15" ht="18" customHeight="1" x14ac:dyDescent="0.3">
      <c r="C98" s="19"/>
      <c r="D98" s="19"/>
      <c r="E98" s="19"/>
      <c r="F98" s="20"/>
      <c r="G98" s="20"/>
      <c r="H98" s="21"/>
      <c r="I98" s="22"/>
      <c r="J98" s="21"/>
      <c r="K98" s="19"/>
      <c r="L98" s="23"/>
      <c r="M98" s="23"/>
      <c r="O98" s="18"/>
    </row>
    <row r="99" spans="3:15" ht="18" customHeight="1" x14ac:dyDescent="0.3">
      <c r="C99" s="19"/>
      <c r="D99" s="19"/>
      <c r="E99" s="19"/>
      <c r="F99" s="20"/>
      <c r="G99" s="20"/>
      <c r="H99" s="21"/>
      <c r="I99" s="22"/>
      <c r="J99" s="21"/>
      <c r="K99" s="19"/>
      <c r="L99" s="23"/>
      <c r="M99" s="23"/>
      <c r="O99" s="18"/>
    </row>
    <row r="100" spans="3:15" ht="18" customHeight="1" x14ac:dyDescent="0.3">
      <c r="C100" s="19"/>
      <c r="D100" s="19"/>
      <c r="E100" s="19"/>
      <c r="F100" s="20"/>
      <c r="G100" s="20"/>
      <c r="H100" s="21"/>
      <c r="I100" s="22"/>
      <c r="J100" s="21"/>
      <c r="K100" s="19"/>
      <c r="L100" s="23"/>
      <c r="M100" s="23"/>
      <c r="O100" s="18"/>
    </row>
    <row r="101" spans="3:15" ht="18" customHeight="1" x14ac:dyDescent="0.3">
      <c r="C101" s="19"/>
      <c r="D101" s="19"/>
      <c r="E101" s="19"/>
      <c r="F101" s="20"/>
      <c r="G101" s="20"/>
      <c r="H101" s="21"/>
      <c r="I101" s="22"/>
      <c r="J101" s="21"/>
      <c r="K101" s="19"/>
      <c r="L101" s="23"/>
      <c r="M101" s="23"/>
      <c r="O101" s="18"/>
    </row>
    <row r="102" spans="3:15" ht="18" customHeight="1" x14ac:dyDescent="0.3">
      <c r="C102" s="19"/>
      <c r="D102" s="19"/>
      <c r="E102" s="19"/>
      <c r="F102" s="20"/>
      <c r="G102" s="20"/>
      <c r="H102" s="21"/>
      <c r="I102" s="22"/>
      <c r="J102" s="21"/>
      <c r="K102" s="19"/>
      <c r="L102" s="23"/>
      <c r="M102" s="23"/>
      <c r="O102" s="18"/>
    </row>
    <row r="103" spans="3:15" ht="18" customHeight="1" x14ac:dyDescent="0.3">
      <c r="C103" s="19"/>
      <c r="D103" s="19"/>
      <c r="E103" s="19"/>
      <c r="F103" s="20"/>
      <c r="G103" s="20"/>
      <c r="H103" s="21"/>
      <c r="I103" s="22"/>
      <c r="J103" s="21"/>
      <c r="K103" s="19"/>
      <c r="L103" s="23"/>
      <c r="M103" s="23"/>
      <c r="O103" s="18"/>
    </row>
    <row r="104" spans="3:15" ht="18" customHeight="1" x14ac:dyDescent="0.3">
      <c r="C104" s="19"/>
      <c r="D104" s="19"/>
      <c r="E104" s="19"/>
      <c r="F104" s="20"/>
      <c r="G104" s="20"/>
      <c r="H104" s="21"/>
      <c r="I104" s="22"/>
      <c r="J104" s="21"/>
      <c r="K104" s="19"/>
      <c r="L104" s="23"/>
      <c r="M104" s="23"/>
      <c r="O104" s="18"/>
    </row>
    <row r="105" spans="3:15" ht="18" customHeight="1" x14ac:dyDescent="0.3">
      <c r="C105" s="19"/>
      <c r="D105" s="19"/>
      <c r="E105" s="19"/>
      <c r="F105" s="20"/>
      <c r="G105" s="20"/>
      <c r="H105" s="21"/>
      <c r="I105" s="22"/>
      <c r="J105" s="21"/>
      <c r="K105" s="19"/>
      <c r="L105" s="23"/>
      <c r="M105" s="23"/>
      <c r="O105" s="18"/>
    </row>
    <row r="106" spans="3:15" ht="18" customHeight="1" x14ac:dyDescent="0.3">
      <c r="C106" s="19"/>
      <c r="D106" s="19"/>
      <c r="E106" s="19"/>
      <c r="F106" s="20"/>
      <c r="G106" s="20"/>
      <c r="H106" s="21"/>
      <c r="I106" s="22"/>
      <c r="J106" s="21"/>
      <c r="K106" s="19"/>
      <c r="L106" s="23"/>
      <c r="M106" s="23"/>
      <c r="O106" s="18"/>
    </row>
    <row r="107" spans="3:15" ht="18" customHeight="1" x14ac:dyDescent="0.3">
      <c r="C107" s="19"/>
      <c r="D107" s="19"/>
      <c r="E107" s="19"/>
      <c r="F107" s="20"/>
      <c r="G107" s="20"/>
      <c r="H107" s="21"/>
      <c r="I107" s="22"/>
      <c r="J107" s="21"/>
      <c r="K107" s="19"/>
      <c r="L107" s="23"/>
      <c r="M107" s="23"/>
      <c r="O107" s="18"/>
    </row>
    <row r="108" spans="3:15" ht="18" customHeight="1" x14ac:dyDescent="0.3">
      <c r="C108" s="19"/>
      <c r="D108" s="19"/>
      <c r="E108" s="19"/>
      <c r="F108" s="20"/>
      <c r="G108" s="20"/>
      <c r="H108" s="21"/>
      <c r="I108" s="22"/>
      <c r="J108" s="21"/>
      <c r="K108" s="19"/>
      <c r="L108" s="23"/>
      <c r="M108" s="23"/>
      <c r="O108" s="18"/>
    </row>
    <row r="109" spans="3:15" ht="18" customHeight="1" x14ac:dyDescent="0.3">
      <c r="C109" s="19"/>
      <c r="D109" s="19"/>
      <c r="E109" s="19"/>
      <c r="F109" s="20"/>
      <c r="G109" s="20"/>
      <c r="H109" s="21"/>
      <c r="I109" s="22"/>
      <c r="J109" s="21"/>
      <c r="K109" s="19"/>
      <c r="L109" s="23"/>
      <c r="M109" s="23"/>
      <c r="O109" s="18"/>
    </row>
    <row r="110" spans="3:15" ht="18" customHeight="1" x14ac:dyDescent="0.3">
      <c r="C110" s="19"/>
      <c r="D110" s="19"/>
      <c r="E110" s="19"/>
      <c r="F110" s="20"/>
      <c r="G110" s="20"/>
      <c r="H110" s="21"/>
      <c r="I110" s="22"/>
      <c r="J110" s="21"/>
      <c r="K110" s="19"/>
      <c r="L110" s="23"/>
      <c r="M110" s="23"/>
      <c r="O110" s="18"/>
    </row>
    <row r="111" spans="3:15" ht="18" customHeight="1" x14ac:dyDescent="0.3">
      <c r="C111" s="19"/>
      <c r="D111" s="19"/>
      <c r="E111" s="19"/>
      <c r="F111" s="20"/>
      <c r="G111" s="20"/>
      <c r="H111" s="21"/>
      <c r="I111" s="22"/>
      <c r="J111" s="21"/>
      <c r="K111" s="19"/>
      <c r="L111" s="23"/>
      <c r="M111" s="23"/>
      <c r="O111" s="18"/>
    </row>
    <row r="112" spans="3:15" ht="18" customHeight="1" x14ac:dyDescent="0.3">
      <c r="C112" s="19"/>
      <c r="D112" s="19"/>
      <c r="E112" s="19"/>
      <c r="F112" s="20"/>
      <c r="G112" s="20"/>
      <c r="H112" s="21"/>
      <c r="I112" s="22"/>
      <c r="J112" s="21"/>
      <c r="K112" s="19"/>
      <c r="L112" s="23"/>
      <c r="M112" s="23"/>
      <c r="O112" s="18"/>
    </row>
    <row r="113" spans="3:15" ht="18" customHeight="1" x14ac:dyDescent="0.3">
      <c r="C113" s="19"/>
      <c r="D113" s="19"/>
      <c r="E113" s="19"/>
      <c r="F113" s="20"/>
      <c r="G113" s="20"/>
      <c r="H113" s="21"/>
      <c r="I113" s="22"/>
      <c r="J113" s="21"/>
      <c r="K113" s="19"/>
      <c r="L113" s="23"/>
      <c r="M113" s="23"/>
      <c r="O113" s="18"/>
    </row>
    <row r="114" spans="3:15" ht="18" customHeight="1" x14ac:dyDescent="0.3">
      <c r="C114" s="19"/>
      <c r="D114" s="19"/>
      <c r="E114" s="19"/>
      <c r="F114" s="20"/>
      <c r="G114" s="20"/>
      <c r="H114" s="21"/>
      <c r="I114" s="22"/>
      <c r="J114" s="21"/>
      <c r="K114" s="19"/>
      <c r="L114" s="23"/>
      <c r="M114" s="23"/>
      <c r="O114" s="18"/>
    </row>
    <row r="115" spans="3:15" ht="18" customHeight="1" x14ac:dyDescent="0.3">
      <c r="C115" s="19"/>
      <c r="D115" s="19"/>
      <c r="E115" s="19"/>
      <c r="F115" s="20"/>
      <c r="G115" s="20"/>
      <c r="H115" s="21"/>
      <c r="I115" s="22"/>
      <c r="J115" s="21"/>
      <c r="K115" s="19"/>
      <c r="L115" s="23"/>
      <c r="M115" s="23"/>
      <c r="O115" s="18"/>
    </row>
    <row r="116" spans="3:15" ht="18" customHeight="1" x14ac:dyDescent="0.3">
      <c r="C116" s="19"/>
      <c r="D116" s="19"/>
      <c r="E116" s="19"/>
      <c r="F116" s="20"/>
      <c r="G116" s="20"/>
      <c r="H116" s="21"/>
      <c r="I116" s="22"/>
      <c r="J116" s="21"/>
      <c r="K116" s="19"/>
      <c r="L116" s="23"/>
      <c r="M116" s="23"/>
      <c r="O116" s="18"/>
    </row>
    <row r="117" spans="3:15" ht="18" customHeight="1" x14ac:dyDescent="0.3">
      <c r="C117" s="19"/>
      <c r="D117" s="19"/>
      <c r="E117" s="19"/>
      <c r="F117" s="20"/>
      <c r="G117" s="20"/>
      <c r="H117" s="21"/>
      <c r="I117" s="22"/>
      <c r="J117" s="21"/>
      <c r="K117" s="19"/>
      <c r="L117" s="23"/>
      <c r="M117" s="23"/>
      <c r="O117" s="18"/>
    </row>
    <row r="118" spans="3:15" ht="18" customHeight="1" x14ac:dyDescent="0.3">
      <c r="C118" s="19"/>
      <c r="D118" s="19"/>
      <c r="E118" s="19"/>
      <c r="F118" s="20"/>
      <c r="G118" s="20"/>
      <c r="H118" s="21"/>
      <c r="I118" s="22"/>
      <c r="J118" s="21"/>
      <c r="K118" s="19"/>
      <c r="L118" s="23"/>
      <c r="M118" s="23"/>
      <c r="O118" s="18"/>
    </row>
    <row r="119" spans="3:15" ht="18" customHeight="1" x14ac:dyDescent="0.3">
      <c r="C119" s="19"/>
      <c r="D119" s="19"/>
      <c r="E119" s="19"/>
      <c r="F119" s="20"/>
      <c r="G119" s="20"/>
      <c r="H119" s="21"/>
      <c r="I119" s="22"/>
      <c r="J119" s="21"/>
      <c r="K119" s="19"/>
      <c r="L119" s="23"/>
      <c r="M119" s="23"/>
      <c r="O119" s="18"/>
    </row>
    <row r="120" spans="3:15" ht="18" customHeight="1" x14ac:dyDescent="0.3">
      <c r="C120" s="19"/>
      <c r="D120" s="19"/>
      <c r="E120" s="19"/>
      <c r="F120" s="20"/>
      <c r="G120" s="20"/>
      <c r="H120" s="21"/>
      <c r="I120" s="22"/>
      <c r="J120" s="21"/>
      <c r="K120" s="19"/>
      <c r="L120" s="23"/>
      <c r="M120" s="23"/>
      <c r="O120" s="18"/>
    </row>
    <row r="121" spans="3:15" ht="18" customHeight="1" x14ac:dyDescent="0.3">
      <c r="C121" s="19"/>
      <c r="D121" s="19"/>
      <c r="E121" s="19"/>
      <c r="F121" s="20"/>
      <c r="G121" s="20"/>
      <c r="H121" s="21"/>
      <c r="I121" s="22"/>
      <c r="J121" s="21"/>
      <c r="K121" s="19"/>
      <c r="L121" s="23"/>
      <c r="M121" s="23"/>
      <c r="O121" s="18"/>
    </row>
    <row r="122" spans="3:15" ht="18" customHeight="1" x14ac:dyDescent="0.3">
      <c r="C122" s="19"/>
      <c r="D122" s="19"/>
      <c r="E122" s="19"/>
      <c r="F122" s="20"/>
      <c r="G122" s="20"/>
      <c r="H122" s="21"/>
      <c r="I122" s="22"/>
      <c r="J122" s="21"/>
      <c r="K122" s="19"/>
      <c r="L122" s="23"/>
      <c r="M122" s="23"/>
      <c r="O122" s="18"/>
    </row>
    <row r="123" spans="3:15" ht="18" customHeight="1" x14ac:dyDescent="0.3">
      <c r="C123" s="19"/>
      <c r="D123" s="19"/>
      <c r="E123" s="19"/>
      <c r="F123" s="20"/>
      <c r="G123" s="20"/>
      <c r="H123" s="21"/>
      <c r="I123" s="22"/>
      <c r="J123" s="21"/>
      <c r="K123" s="19"/>
      <c r="L123" s="23"/>
      <c r="M123" s="23"/>
      <c r="O123" s="18"/>
    </row>
    <row r="124" spans="3:15" ht="18" customHeight="1" x14ac:dyDescent="0.3">
      <c r="C124" s="19"/>
      <c r="D124" s="19"/>
      <c r="E124" s="19"/>
      <c r="F124" s="20"/>
      <c r="G124" s="20"/>
      <c r="H124" s="21"/>
      <c r="I124" s="22"/>
      <c r="J124" s="21"/>
      <c r="K124" s="19"/>
      <c r="L124" s="23"/>
      <c r="M124" s="23"/>
      <c r="O124" s="18"/>
    </row>
    <row r="125" spans="3:15" ht="18" customHeight="1" x14ac:dyDescent="0.3">
      <c r="C125" s="19"/>
      <c r="D125" s="19"/>
      <c r="E125" s="19"/>
      <c r="F125" s="20"/>
      <c r="G125" s="20"/>
      <c r="H125" s="21"/>
      <c r="I125" s="22"/>
      <c r="J125" s="21"/>
      <c r="K125" s="19"/>
      <c r="L125" s="23"/>
      <c r="M125" s="23"/>
      <c r="O125" s="18"/>
    </row>
    <row r="126" spans="3:15" ht="18" customHeight="1" x14ac:dyDescent="0.3">
      <c r="C126" s="19"/>
      <c r="D126" s="19"/>
      <c r="E126" s="19"/>
      <c r="F126" s="20"/>
      <c r="G126" s="20"/>
      <c r="H126" s="21"/>
      <c r="I126" s="22"/>
      <c r="J126" s="21"/>
      <c r="K126" s="19"/>
      <c r="L126" s="23"/>
      <c r="M126" s="23"/>
      <c r="O126" s="18"/>
    </row>
    <row r="127" spans="3:15" ht="18" customHeight="1" x14ac:dyDescent="0.3">
      <c r="C127" s="19"/>
      <c r="D127" s="19"/>
      <c r="E127" s="19"/>
      <c r="F127" s="20"/>
      <c r="G127" s="20"/>
      <c r="H127" s="21"/>
      <c r="I127" s="22"/>
      <c r="J127" s="21"/>
      <c r="K127" s="19"/>
      <c r="L127" s="23"/>
      <c r="M127" s="23"/>
      <c r="O127" s="18"/>
    </row>
    <row r="128" spans="3:15" ht="18" customHeight="1" x14ac:dyDescent="0.3">
      <c r="C128" s="19"/>
      <c r="D128" s="19"/>
      <c r="E128" s="19"/>
      <c r="F128" s="20"/>
      <c r="G128" s="20"/>
      <c r="H128" s="21"/>
      <c r="I128" s="22"/>
      <c r="J128" s="21"/>
      <c r="K128" s="19"/>
      <c r="L128" s="23"/>
      <c r="M128" s="23"/>
      <c r="O128" s="18"/>
    </row>
    <row r="129" spans="3:15" ht="18" customHeight="1" x14ac:dyDescent="0.3">
      <c r="C129" s="19"/>
      <c r="D129" s="19"/>
      <c r="E129" s="19"/>
      <c r="F129" s="20"/>
      <c r="G129" s="20"/>
      <c r="H129" s="21"/>
      <c r="I129" s="22"/>
      <c r="J129" s="21"/>
      <c r="K129" s="19"/>
      <c r="L129" s="23"/>
      <c r="M129" s="23"/>
      <c r="O129" s="18"/>
    </row>
    <row r="130" spans="3:15" ht="18" customHeight="1" x14ac:dyDescent="0.3">
      <c r="C130" s="19"/>
      <c r="D130" s="19"/>
      <c r="E130" s="19"/>
      <c r="F130" s="20"/>
      <c r="G130" s="20"/>
      <c r="H130" s="21"/>
      <c r="I130" s="22"/>
      <c r="J130" s="21"/>
      <c r="K130" s="19"/>
      <c r="L130" s="23"/>
      <c r="M130" s="23"/>
      <c r="O130" s="18"/>
    </row>
    <row r="131" spans="3:15" ht="18" customHeight="1" x14ac:dyDescent="0.3">
      <c r="C131" s="19"/>
      <c r="D131" s="19"/>
      <c r="E131" s="19"/>
      <c r="F131" s="20"/>
      <c r="G131" s="20"/>
      <c r="H131" s="21"/>
      <c r="I131" s="22"/>
      <c r="J131" s="21"/>
      <c r="K131" s="19"/>
      <c r="L131" s="23"/>
      <c r="M131" s="23"/>
      <c r="O131" s="18"/>
    </row>
    <row r="132" spans="3:15" ht="18" customHeight="1" x14ac:dyDescent="0.3">
      <c r="C132" s="19"/>
      <c r="D132" s="19"/>
      <c r="E132" s="19"/>
      <c r="F132" s="20"/>
      <c r="G132" s="20"/>
      <c r="H132" s="21"/>
      <c r="I132" s="22"/>
      <c r="J132" s="21"/>
      <c r="K132" s="19"/>
      <c r="L132" s="23"/>
      <c r="M132" s="23"/>
      <c r="O132" s="18"/>
    </row>
    <row r="133" spans="3:15" ht="18" customHeight="1" x14ac:dyDescent="0.3">
      <c r="C133" s="19"/>
      <c r="D133" s="19"/>
      <c r="E133" s="19"/>
      <c r="F133" s="20"/>
      <c r="G133" s="20"/>
      <c r="H133" s="21"/>
      <c r="I133" s="22"/>
      <c r="J133" s="21"/>
      <c r="K133" s="19"/>
      <c r="L133" s="23"/>
      <c r="M133" s="23"/>
      <c r="O133" s="18"/>
    </row>
    <row r="134" spans="3:15" ht="18" customHeight="1" x14ac:dyDescent="0.3">
      <c r="C134" s="19"/>
      <c r="D134" s="19"/>
      <c r="E134" s="19"/>
      <c r="F134" s="20"/>
      <c r="G134" s="20"/>
      <c r="H134" s="21"/>
      <c r="I134" s="22"/>
      <c r="J134" s="21"/>
      <c r="K134" s="19"/>
      <c r="L134" s="23"/>
      <c r="M134" s="23"/>
      <c r="O134" s="18"/>
    </row>
    <row r="135" spans="3:15" ht="18" customHeight="1" x14ac:dyDescent="0.3">
      <c r="C135" s="19"/>
      <c r="D135" s="19"/>
      <c r="E135" s="19"/>
      <c r="F135" s="20"/>
      <c r="G135" s="20"/>
      <c r="H135" s="21"/>
      <c r="I135" s="22"/>
      <c r="J135" s="21"/>
      <c r="K135" s="19"/>
      <c r="L135" s="23"/>
      <c r="M135" s="23"/>
      <c r="O135" s="18"/>
    </row>
    <row r="136" spans="3:15" ht="18" customHeight="1" x14ac:dyDescent="0.3">
      <c r="C136" s="19"/>
      <c r="D136" s="19"/>
      <c r="E136" s="19"/>
      <c r="F136" s="20"/>
      <c r="G136" s="20"/>
      <c r="H136" s="21"/>
      <c r="I136" s="22"/>
      <c r="J136" s="21"/>
      <c r="K136" s="19"/>
      <c r="L136" s="23"/>
      <c r="M136" s="23"/>
      <c r="O136" s="18"/>
    </row>
    <row r="137" spans="3:15" ht="18" customHeight="1" x14ac:dyDescent="0.3">
      <c r="C137" s="19"/>
      <c r="D137" s="19"/>
      <c r="E137" s="19"/>
      <c r="F137" s="20"/>
      <c r="G137" s="20"/>
      <c r="H137" s="21"/>
      <c r="I137" s="22"/>
      <c r="J137" s="21"/>
      <c r="K137" s="19"/>
      <c r="L137" s="23"/>
      <c r="M137" s="23"/>
      <c r="O137" s="18"/>
    </row>
    <row r="138" spans="3:15" ht="18" customHeight="1" x14ac:dyDescent="0.3">
      <c r="C138" s="19"/>
      <c r="D138" s="19"/>
      <c r="E138" s="19"/>
      <c r="F138" s="20"/>
      <c r="G138" s="20"/>
      <c r="H138" s="21"/>
      <c r="I138" s="22"/>
      <c r="J138" s="21"/>
      <c r="K138" s="19"/>
      <c r="L138" s="23"/>
      <c r="M138" s="23"/>
      <c r="O138" s="18"/>
    </row>
    <row r="139" spans="3:15" ht="18" customHeight="1" x14ac:dyDescent="0.3">
      <c r="C139" s="19"/>
      <c r="D139" s="19"/>
      <c r="E139" s="19"/>
      <c r="F139" s="20"/>
      <c r="G139" s="20"/>
      <c r="H139" s="21"/>
      <c r="I139" s="22"/>
      <c r="J139" s="21"/>
      <c r="K139" s="19"/>
      <c r="L139" s="23"/>
      <c r="M139" s="23"/>
      <c r="O139" s="18"/>
    </row>
    <row r="140" spans="3:15" ht="18" customHeight="1" x14ac:dyDescent="0.3">
      <c r="C140" s="19"/>
      <c r="D140" s="19"/>
      <c r="E140" s="19"/>
      <c r="F140" s="20"/>
      <c r="G140" s="20"/>
      <c r="H140" s="21"/>
      <c r="I140" s="22"/>
      <c r="J140" s="21"/>
      <c r="K140" s="19"/>
      <c r="L140" s="23"/>
      <c r="M140" s="23"/>
      <c r="O140" s="18"/>
    </row>
    <row r="141" spans="3:15" ht="18" customHeight="1" x14ac:dyDescent="0.3">
      <c r="C141" s="19"/>
      <c r="D141" s="19"/>
      <c r="E141" s="19"/>
      <c r="F141" s="20"/>
      <c r="G141" s="20"/>
      <c r="H141" s="21"/>
      <c r="I141" s="22"/>
      <c r="J141" s="21"/>
      <c r="K141" s="19"/>
      <c r="L141" s="23"/>
      <c r="M141" s="23"/>
      <c r="O141" s="18"/>
    </row>
    <row r="142" spans="3:15" ht="18" customHeight="1" x14ac:dyDescent="0.3">
      <c r="C142" s="19"/>
      <c r="D142" s="19"/>
      <c r="E142" s="19"/>
      <c r="F142" s="20"/>
      <c r="G142" s="20"/>
      <c r="H142" s="21"/>
      <c r="I142" s="22"/>
      <c r="J142" s="21"/>
      <c r="K142" s="19"/>
      <c r="L142" s="23"/>
      <c r="M142" s="23"/>
      <c r="O142" s="18"/>
    </row>
    <row r="143" spans="3:15" ht="18" customHeight="1" x14ac:dyDescent="0.3">
      <c r="C143" s="19"/>
      <c r="D143" s="19"/>
      <c r="E143" s="19"/>
      <c r="F143" s="20"/>
      <c r="G143" s="20"/>
      <c r="H143" s="21"/>
      <c r="I143" s="22"/>
      <c r="J143" s="21"/>
      <c r="K143" s="19"/>
      <c r="L143" s="23"/>
      <c r="M143" s="23"/>
      <c r="O143" s="18"/>
    </row>
    <row r="144" spans="3:15" ht="18" customHeight="1" x14ac:dyDescent="0.3">
      <c r="C144" s="19"/>
      <c r="D144" s="19"/>
      <c r="E144" s="19"/>
      <c r="F144" s="20"/>
      <c r="G144" s="20"/>
      <c r="H144" s="21"/>
      <c r="I144" s="22"/>
      <c r="J144" s="21"/>
      <c r="K144" s="19"/>
      <c r="L144" s="23"/>
      <c r="M144" s="23"/>
      <c r="O144" s="18"/>
    </row>
    <row r="145" spans="3:15" ht="18" customHeight="1" x14ac:dyDescent="0.3">
      <c r="C145" s="19"/>
      <c r="D145" s="19"/>
      <c r="E145" s="19"/>
      <c r="F145" s="20"/>
      <c r="G145" s="20"/>
      <c r="H145" s="21"/>
      <c r="I145" s="22"/>
      <c r="J145" s="21"/>
      <c r="K145" s="19"/>
      <c r="L145" s="23"/>
      <c r="M145" s="23"/>
      <c r="O145" s="18"/>
    </row>
    <row r="146" spans="3:15" ht="18" customHeight="1" x14ac:dyDescent="0.3">
      <c r="C146" s="19"/>
      <c r="D146" s="19"/>
      <c r="E146" s="19"/>
      <c r="F146" s="20"/>
      <c r="G146" s="20"/>
      <c r="H146" s="21"/>
      <c r="I146" s="22"/>
      <c r="J146" s="21"/>
      <c r="K146" s="19"/>
      <c r="L146" s="23"/>
      <c r="M146" s="23"/>
      <c r="O146" s="18"/>
    </row>
    <row r="147" spans="3:15" ht="18" customHeight="1" x14ac:dyDescent="0.3">
      <c r="C147" s="19"/>
      <c r="D147" s="19"/>
      <c r="E147" s="19"/>
      <c r="F147" s="20"/>
      <c r="G147" s="20"/>
      <c r="H147" s="21"/>
      <c r="I147" s="22"/>
      <c r="J147" s="21"/>
      <c r="K147" s="19"/>
      <c r="L147" s="23"/>
      <c r="M147" s="23"/>
      <c r="O147" s="18"/>
    </row>
    <row r="148" spans="3:15" ht="18" customHeight="1" x14ac:dyDescent="0.3">
      <c r="C148" s="19"/>
      <c r="D148" s="19"/>
      <c r="E148" s="19"/>
      <c r="F148" s="20"/>
      <c r="G148" s="20"/>
      <c r="H148" s="21"/>
      <c r="I148" s="22"/>
      <c r="J148" s="21"/>
      <c r="K148" s="19"/>
      <c r="L148" s="23"/>
      <c r="M148" s="23"/>
      <c r="O148" s="18"/>
    </row>
    <row r="149" spans="3:15" ht="18" customHeight="1" x14ac:dyDescent="0.3">
      <c r="C149" s="19"/>
      <c r="D149" s="19"/>
      <c r="E149" s="19"/>
      <c r="F149" s="20"/>
      <c r="G149" s="20"/>
      <c r="H149" s="21"/>
      <c r="I149" s="22"/>
      <c r="J149" s="21"/>
      <c r="K149" s="19"/>
      <c r="L149" s="23"/>
      <c r="M149" s="23"/>
      <c r="O149" s="18"/>
    </row>
    <row r="150" spans="3:15" ht="18" customHeight="1" x14ac:dyDescent="0.3">
      <c r="C150" s="19"/>
      <c r="D150" s="19"/>
      <c r="E150" s="19"/>
      <c r="F150" s="20"/>
      <c r="G150" s="20"/>
      <c r="H150" s="21"/>
      <c r="I150" s="22"/>
      <c r="J150" s="21"/>
      <c r="K150" s="19"/>
      <c r="L150" s="23"/>
      <c r="M150" s="23"/>
      <c r="O150" s="18"/>
    </row>
    <row r="151" spans="3:15" ht="18" customHeight="1" x14ac:dyDescent="0.3">
      <c r="C151" s="19"/>
      <c r="D151" s="19"/>
      <c r="E151" s="19"/>
      <c r="F151" s="20"/>
      <c r="G151" s="20"/>
      <c r="H151" s="21"/>
      <c r="I151" s="22"/>
      <c r="J151" s="21"/>
      <c r="K151" s="19"/>
      <c r="L151" s="23"/>
      <c r="M151" s="23"/>
      <c r="O151" s="18"/>
    </row>
    <row r="152" spans="3:15" ht="18" customHeight="1" x14ac:dyDescent="0.3">
      <c r="C152" s="19"/>
      <c r="D152" s="19"/>
      <c r="E152" s="19"/>
      <c r="F152" s="20"/>
      <c r="G152" s="20"/>
      <c r="H152" s="21"/>
      <c r="I152" s="22"/>
      <c r="J152" s="21"/>
      <c r="K152" s="19"/>
      <c r="L152" s="23"/>
      <c r="M152" s="23"/>
      <c r="O152" s="18"/>
    </row>
    <row r="153" spans="3:15" ht="18" customHeight="1" x14ac:dyDescent="0.3">
      <c r="C153" s="19"/>
      <c r="D153" s="19"/>
      <c r="E153" s="19"/>
      <c r="F153" s="20"/>
      <c r="G153" s="20"/>
      <c r="H153" s="21"/>
      <c r="I153" s="22"/>
      <c r="J153" s="21"/>
      <c r="K153" s="19"/>
      <c r="L153" s="23"/>
      <c r="M153" s="23"/>
      <c r="O153" s="18"/>
    </row>
    <row r="154" spans="3:15" ht="18" customHeight="1" x14ac:dyDescent="0.3">
      <c r="C154" s="19"/>
      <c r="D154" s="19"/>
      <c r="E154" s="19"/>
      <c r="F154" s="20"/>
      <c r="G154" s="20"/>
      <c r="H154" s="21"/>
      <c r="I154" s="22"/>
      <c r="J154" s="21"/>
      <c r="K154" s="19"/>
      <c r="L154" s="23"/>
      <c r="M154" s="23"/>
      <c r="O154" s="18"/>
    </row>
    <row r="155" spans="3:15" ht="18" customHeight="1" x14ac:dyDescent="0.3">
      <c r="C155" s="19"/>
      <c r="D155" s="19"/>
      <c r="E155" s="19"/>
      <c r="F155" s="20"/>
      <c r="G155" s="20"/>
      <c r="H155" s="21"/>
      <c r="I155" s="22"/>
      <c r="J155" s="21"/>
      <c r="K155" s="19"/>
      <c r="L155" s="23"/>
      <c r="M155" s="23"/>
      <c r="O155" s="18"/>
    </row>
    <row r="156" spans="3:15" ht="18" customHeight="1" x14ac:dyDescent="0.3">
      <c r="C156" s="19"/>
      <c r="D156" s="19"/>
      <c r="E156" s="19"/>
      <c r="F156" s="20"/>
      <c r="G156" s="20"/>
      <c r="H156" s="21"/>
      <c r="I156" s="22"/>
      <c r="J156" s="21"/>
      <c r="K156" s="19"/>
      <c r="L156" s="23"/>
      <c r="M156" s="23"/>
      <c r="O156" s="18"/>
    </row>
    <row r="157" spans="3:15" ht="18" customHeight="1" x14ac:dyDescent="0.3">
      <c r="C157" s="19"/>
      <c r="D157" s="19"/>
      <c r="E157" s="19"/>
      <c r="F157" s="20"/>
      <c r="G157" s="20"/>
      <c r="H157" s="21"/>
      <c r="I157" s="22"/>
      <c r="J157" s="21"/>
      <c r="K157" s="19"/>
      <c r="L157" s="23"/>
      <c r="M157" s="23"/>
      <c r="O157" s="18"/>
    </row>
    <row r="158" spans="3:15" ht="18" customHeight="1" x14ac:dyDescent="0.3">
      <c r="C158" s="19"/>
      <c r="D158" s="19"/>
      <c r="E158" s="19"/>
      <c r="F158" s="20"/>
      <c r="G158" s="20"/>
      <c r="H158" s="21"/>
      <c r="I158" s="22"/>
      <c r="J158" s="21"/>
      <c r="K158" s="19"/>
      <c r="L158" s="23"/>
      <c r="M158" s="23"/>
      <c r="O158" s="18"/>
    </row>
    <row r="159" spans="3:15" ht="18" customHeight="1" x14ac:dyDescent="0.3">
      <c r="C159" s="19"/>
      <c r="D159" s="19"/>
      <c r="E159" s="19"/>
      <c r="F159" s="20"/>
      <c r="G159" s="20"/>
      <c r="H159" s="21"/>
      <c r="I159" s="22"/>
      <c r="J159" s="21"/>
      <c r="K159" s="19"/>
      <c r="L159" s="23"/>
      <c r="M159" s="23"/>
      <c r="O159" s="18"/>
    </row>
    <row r="160" spans="3:15" ht="18" customHeight="1" x14ac:dyDescent="0.3">
      <c r="C160" s="19"/>
      <c r="D160" s="19"/>
      <c r="E160" s="19"/>
      <c r="F160" s="20"/>
      <c r="G160" s="20"/>
      <c r="H160" s="21"/>
      <c r="I160" s="22"/>
      <c r="J160" s="21"/>
      <c r="K160" s="19"/>
      <c r="L160" s="23"/>
      <c r="M160" s="23"/>
      <c r="O160" s="18"/>
    </row>
    <row r="161" spans="3:15" ht="18" customHeight="1" x14ac:dyDescent="0.3">
      <c r="C161" s="19"/>
      <c r="D161" s="19"/>
      <c r="E161" s="19"/>
      <c r="F161" s="20"/>
      <c r="G161" s="20"/>
      <c r="H161" s="21"/>
      <c r="I161" s="22"/>
      <c r="J161" s="21"/>
      <c r="K161" s="19"/>
      <c r="L161" s="23"/>
      <c r="M161" s="23"/>
      <c r="O161" s="18"/>
    </row>
    <row r="162" spans="3:15" ht="18" customHeight="1" x14ac:dyDescent="0.3">
      <c r="C162" s="19"/>
      <c r="D162" s="19"/>
      <c r="E162" s="19"/>
      <c r="F162" s="20"/>
      <c r="G162" s="20"/>
      <c r="H162" s="21"/>
      <c r="I162" s="22"/>
      <c r="J162" s="21"/>
      <c r="K162" s="19"/>
      <c r="L162" s="23"/>
      <c r="M162" s="23"/>
      <c r="O162" s="18"/>
    </row>
    <row r="163" spans="3:15" ht="18" customHeight="1" x14ac:dyDescent="0.3">
      <c r="C163" s="19"/>
      <c r="D163" s="19"/>
      <c r="E163" s="19"/>
      <c r="F163" s="20"/>
      <c r="G163" s="20"/>
      <c r="H163" s="21"/>
      <c r="I163" s="22"/>
      <c r="J163" s="21"/>
      <c r="K163" s="19"/>
      <c r="L163" s="23"/>
      <c r="M163" s="23"/>
      <c r="O163" s="18"/>
    </row>
    <row r="164" spans="3:15" ht="18" customHeight="1" x14ac:dyDescent="0.3">
      <c r="C164" s="19"/>
      <c r="D164" s="19"/>
      <c r="E164" s="19"/>
      <c r="F164" s="20"/>
      <c r="G164" s="20"/>
      <c r="H164" s="21"/>
      <c r="I164" s="22"/>
      <c r="J164" s="21"/>
      <c r="K164" s="19"/>
      <c r="L164" s="23"/>
      <c r="M164" s="23"/>
      <c r="O164" s="18"/>
    </row>
    <row r="165" spans="3:15" ht="18" customHeight="1" x14ac:dyDescent="0.3">
      <c r="C165" s="19"/>
      <c r="D165" s="19"/>
      <c r="E165" s="19"/>
      <c r="F165" s="20"/>
      <c r="G165" s="20"/>
      <c r="H165" s="21"/>
      <c r="I165" s="22"/>
      <c r="J165" s="21"/>
      <c r="K165" s="19"/>
      <c r="L165" s="23"/>
      <c r="M165" s="23"/>
      <c r="O165" s="18"/>
    </row>
    <row r="166" spans="3:15" ht="18" customHeight="1" x14ac:dyDescent="0.3">
      <c r="C166" s="19"/>
      <c r="D166" s="19"/>
      <c r="E166" s="19"/>
      <c r="F166" s="20"/>
      <c r="G166" s="20"/>
      <c r="H166" s="21"/>
      <c r="I166" s="22"/>
      <c r="J166" s="21"/>
      <c r="K166" s="19"/>
      <c r="L166" s="23"/>
      <c r="M166" s="23"/>
      <c r="O166" s="18"/>
    </row>
    <row r="167" spans="3:15" ht="18" customHeight="1" x14ac:dyDescent="0.3">
      <c r="C167" s="19"/>
      <c r="D167" s="19"/>
      <c r="E167" s="19"/>
      <c r="F167" s="20"/>
      <c r="G167" s="20"/>
      <c r="H167" s="21"/>
      <c r="I167" s="22"/>
      <c r="J167" s="21"/>
      <c r="K167" s="19"/>
      <c r="L167" s="23"/>
      <c r="M167" s="23"/>
      <c r="O167" s="18"/>
    </row>
    <row r="168" spans="3:15" ht="18" customHeight="1" x14ac:dyDescent="0.3">
      <c r="C168" s="19"/>
      <c r="D168" s="19"/>
      <c r="E168" s="19"/>
      <c r="F168" s="20"/>
      <c r="G168" s="20"/>
      <c r="H168" s="21"/>
      <c r="I168" s="22"/>
      <c r="J168" s="21"/>
      <c r="K168" s="19"/>
      <c r="L168" s="23"/>
      <c r="M168" s="23"/>
      <c r="O168" s="18"/>
    </row>
    <row r="169" spans="3:15" ht="18" customHeight="1" x14ac:dyDescent="0.3">
      <c r="C169" s="19"/>
      <c r="D169" s="19"/>
      <c r="E169" s="19"/>
      <c r="F169" s="20"/>
      <c r="G169" s="20"/>
      <c r="H169" s="21"/>
      <c r="I169" s="22"/>
      <c r="J169" s="21"/>
      <c r="K169" s="19"/>
      <c r="L169" s="23"/>
      <c r="M169" s="23"/>
      <c r="O169" s="18"/>
    </row>
    <row r="170" spans="3:15" ht="18" customHeight="1" x14ac:dyDescent="0.3">
      <c r="C170" s="19"/>
      <c r="D170" s="19"/>
      <c r="E170" s="19"/>
      <c r="F170" s="20"/>
      <c r="G170" s="20"/>
      <c r="H170" s="21"/>
      <c r="I170" s="22"/>
      <c r="J170" s="21"/>
      <c r="K170" s="19"/>
      <c r="L170" s="23"/>
      <c r="M170" s="23"/>
      <c r="O170" s="18"/>
    </row>
    <row r="171" spans="3:15" ht="18" customHeight="1" x14ac:dyDescent="0.3">
      <c r="C171" s="19"/>
      <c r="D171" s="19"/>
      <c r="E171" s="19"/>
      <c r="F171" s="20"/>
      <c r="G171" s="20"/>
      <c r="H171" s="21"/>
      <c r="I171" s="22"/>
      <c r="J171" s="21"/>
      <c r="K171" s="19"/>
      <c r="L171" s="23"/>
      <c r="M171" s="23"/>
      <c r="O171" s="18"/>
    </row>
    <row r="172" spans="3:15" ht="18" customHeight="1" x14ac:dyDescent="0.3">
      <c r="C172" s="19"/>
      <c r="D172" s="19"/>
      <c r="E172" s="19"/>
      <c r="F172" s="20"/>
      <c r="G172" s="20"/>
      <c r="H172" s="21"/>
      <c r="I172" s="22"/>
      <c r="J172" s="21"/>
      <c r="K172" s="19"/>
      <c r="L172" s="23"/>
      <c r="M172" s="23"/>
      <c r="O172" s="18"/>
    </row>
    <row r="173" spans="3:15" ht="18" customHeight="1" x14ac:dyDescent="0.3">
      <c r="C173" s="19"/>
      <c r="D173" s="19"/>
      <c r="E173" s="19"/>
      <c r="F173" s="20"/>
      <c r="G173" s="20"/>
      <c r="H173" s="21"/>
      <c r="I173" s="22"/>
      <c r="J173" s="21"/>
      <c r="K173" s="19"/>
      <c r="L173" s="23"/>
      <c r="M173" s="23"/>
      <c r="O173" s="18"/>
    </row>
    <row r="174" spans="3:15" ht="18" customHeight="1" x14ac:dyDescent="0.3">
      <c r="C174" s="19"/>
      <c r="D174" s="19"/>
      <c r="E174" s="19"/>
      <c r="F174" s="20"/>
      <c r="G174" s="20"/>
      <c r="H174" s="21"/>
      <c r="I174" s="22"/>
      <c r="J174" s="21"/>
      <c r="K174" s="19"/>
      <c r="L174" s="23"/>
      <c r="M174" s="23"/>
      <c r="O174" s="18"/>
    </row>
    <row r="175" spans="3:15" ht="18" customHeight="1" x14ac:dyDescent="0.3">
      <c r="C175" s="19"/>
      <c r="D175" s="19"/>
      <c r="E175" s="19"/>
      <c r="F175" s="20"/>
      <c r="G175" s="20"/>
      <c r="H175" s="21"/>
      <c r="I175" s="22"/>
      <c r="J175" s="21"/>
      <c r="K175" s="19"/>
      <c r="L175" s="23"/>
      <c r="M175" s="23"/>
      <c r="O175" s="18"/>
    </row>
    <row r="176" spans="3:15" ht="18" customHeight="1" x14ac:dyDescent="0.3">
      <c r="C176" s="19"/>
      <c r="D176" s="19"/>
      <c r="E176" s="19"/>
      <c r="F176" s="20"/>
      <c r="G176" s="20"/>
      <c r="H176" s="21"/>
      <c r="I176" s="22"/>
      <c r="J176" s="21"/>
      <c r="K176" s="19"/>
      <c r="L176" s="23"/>
      <c r="M176" s="23"/>
      <c r="O176" s="18"/>
    </row>
    <row r="177" spans="3:15" ht="18" customHeight="1" x14ac:dyDescent="0.3">
      <c r="C177" s="19"/>
      <c r="D177" s="19"/>
      <c r="E177" s="19"/>
      <c r="F177" s="20"/>
      <c r="G177" s="20"/>
      <c r="H177" s="21"/>
      <c r="I177" s="22"/>
      <c r="J177" s="21"/>
      <c r="K177" s="19"/>
      <c r="L177" s="23"/>
      <c r="M177" s="23"/>
      <c r="O177" s="18"/>
    </row>
    <row r="178" spans="3:15" ht="18" customHeight="1" x14ac:dyDescent="0.3">
      <c r="C178" s="19"/>
      <c r="D178" s="19"/>
      <c r="E178" s="19"/>
      <c r="F178" s="20"/>
      <c r="G178" s="20"/>
      <c r="H178" s="21"/>
      <c r="I178" s="22"/>
      <c r="J178" s="21"/>
      <c r="K178" s="19"/>
      <c r="L178" s="23"/>
      <c r="M178" s="23"/>
      <c r="O178" s="18"/>
    </row>
    <row r="179" spans="3:15" ht="18" customHeight="1" x14ac:dyDescent="0.3">
      <c r="C179" s="19"/>
      <c r="D179" s="19"/>
      <c r="E179" s="19"/>
      <c r="F179" s="20"/>
      <c r="G179" s="20"/>
      <c r="H179" s="21"/>
      <c r="I179" s="22"/>
      <c r="J179" s="21"/>
      <c r="K179" s="19"/>
      <c r="L179" s="23"/>
      <c r="M179" s="23"/>
      <c r="O179" s="18"/>
    </row>
    <row r="180" spans="3:15" ht="18" customHeight="1" x14ac:dyDescent="0.3">
      <c r="C180" s="19"/>
      <c r="D180" s="19"/>
      <c r="E180" s="19"/>
      <c r="F180" s="20"/>
      <c r="G180" s="20"/>
      <c r="H180" s="21"/>
      <c r="I180" s="22"/>
      <c r="J180" s="21"/>
      <c r="K180" s="19"/>
      <c r="L180" s="23"/>
      <c r="M180" s="23"/>
      <c r="O180" s="18"/>
    </row>
    <row r="181" spans="3:15" ht="18" customHeight="1" x14ac:dyDescent="0.3">
      <c r="C181" s="19"/>
      <c r="D181" s="19"/>
      <c r="E181" s="19"/>
      <c r="F181" s="20"/>
      <c r="G181" s="20"/>
      <c r="H181" s="21"/>
      <c r="I181" s="22"/>
      <c r="J181" s="21"/>
      <c r="K181" s="19"/>
      <c r="L181" s="23"/>
      <c r="M181" s="23"/>
      <c r="O181" s="18"/>
    </row>
    <row r="182" spans="3:15" ht="18" customHeight="1" x14ac:dyDescent="0.3">
      <c r="C182" s="19"/>
      <c r="D182" s="19"/>
      <c r="E182" s="19"/>
      <c r="F182" s="20"/>
      <c r="G182" s="20"/>
      <c r="H182" s="21"/>
      <c r="I182" s="22"/>
      <c r="J182" s="21"/>
      <c r="K182" s="19"/>
      <c r="L182" s="23"/>
      <c r="M182" s="23"/>
      <c r="O182" s="18"/>
    </row>
    <row r="183" spans="3:15" ht="18" customHeight="1" x14ac:dyDescent="0.3">
      <c r="C183" s="19"/>
      <c r="D183" s="19"/>
      <c r="E183" s="19"/>
      <c r="F183" s="20"/>
      <c r="G183" s="20"/>
      <c r="H183" s="21"/>
      <c r="I183" s="22"/>
      <c r="J183" s="21"/>
      <c r="K183" s="19"/>
      <c r="L183" s="23"/>
      <c r="M183" s="23"/>
      <c r="O183" s="18"/>
    </row>
    <row r="184" spans="3:15" ht="18" customHeight="1" x14ac:dyDescent="0.3">
      <c r="C184" s="19"/>
      <c r="D184" s="19"/>
      <c r="E184" s="19"/>
      <c r="F184" s="20"/>
      <c r="G184" s="20"/>
      <c r="H184" s="21"/>
      <c r="I184" s="22"/>
      <c r="J184" s="21"/>
      <c r="K184" s="19"/>
      <c r="L184" s="23"/>
      <c r="M184" s="23"/>
      <c r="O184" s="18"/>
    </row>
    <row r="185" spans="3:15" ht="18" customHeight="1" x14ac:dyDescent="0.3">
      <c r="C185" s="19"/>
      <c r="D185" s="19"/>
      <c r="E185" s="19"/>
      <c r="F185" s="20"/>
      <c r="G185" s="20"/>
      <c r="H185" s="21"/>
      <c r="I185" s="22"/>
      <c r="J185" s="21"/>
      <c r="K185" s="19"/>
      <c r="L185" s="23"/>
      <c r="M185" s="23"/>
      <c r="O185" s="18"/>
    </row>
    <row r="186" spans="3:15" ht="18" customHeight="1" x14ac:dyDescent="0.3">
      <c r="C186" s="19"/>
      <c r="D186" s="19"/>
      <c r="E186" s="19"/>
      <c r="F186" s="20"/>
      <c r="G186" s="20"/>
      <c r="H186" s="21"/>
      <c r="I186" s="22"/>
      <c r="J186" s="21"/>
      <c r="K186" s="19"/>
      <c r="L186" s="23"/>
      <c r="M186" s="23"/>
      <c r="O186" s="18"/>
    </row>
    <row r="187" spans="3:15" ht="18" customHeight="1" x14ac:dyDescent="0.3">
      <c r="C187" s="19"/>
      <c r="D187" s="19"/>
      <c r="E187" s="19"/>
      <c r="F187" s="20"/>
      <c r="G187" s="20"/>
      <c r="H187" s="21"/>
      <c r="I187" s="22"/>
      <c r="J187" s="21"/>
      <c r="K187" s="19"/>
      <c r="L187" s="23"/>
      <c r="M187" s="23"/>
      <c r="O187" s="18"/>
    </row>
    <row r="188" spans="3:15" ht="18" customHeight="1" x14ac:dyDescent="0.3">
      <c r="C188" s="19"/>
      <c r="D188" s="19"/>
      <c r="E188" s="19"/>
      <c r="F188" s="20"/>
      <c r="G188" s="20"/>
      <c r="H188" s="21"/>
      <c r="I188" s="22"/>
      <c r="J188" s="21"/>
      <c r="K188" s="19"/>
      <c r="L188" s="23"/>
      <c r="M188" s="23"/>
      <c r="O188" s="18"/>
    </row>
    <row r="189" spans="3:15" ht="18" customHeight="1" x14ac:dyDescent="0.3">
      <c r="C189" s="19"/>
      <c r="D189" s="19"/>
      <c r="E189" s="19"/>
      <c r="F189" s="20"/>
      <c r="G189" s="20"/>
      <c r="H189" s="21"/>
      <c r="I189" s="22"/>
      <c r="J189" s="21"/>
      <c r="K189" s="19"/>
      <c r="L189" s="23"/>
      <c r="M189" s="23"/>
      <c r="O189" s="18"/>
    </row>
    <row r="190" spans="3:15" ht="18" customHeight="1" x14ac:dyDescent="0.3">
      <c r="C190" s="19"/>
      <c r="D190" s="19"/>
      <c r="E190" s="19"/>
      <c r="F190" s="20"/>
      <c r="G190" s="20"/>
      <c r="H190" s="21"/>
      <c r="I190" s="22"/>
      <c r="J190" s="21"/>
      <c r="K190" s="19"/>
      <c r="L190" s="23"/>
      <c r="M190" s="23"/>
      <c r="O190" s="18"/>
    </row>
    <row r="191" spans="3:15" ht="18" customHeight="1" x14ac:dyDescent="0.3">
      <c r="C191" s="19"/>
      <c r="D191" s="19"/>
      <c r="E191" s="19"/>
      <c r="F191" s="20"/>
      <c r="G191" s="20"/>
      <c r="H191" s="21"/>
      <c r="I191" s="22"/>
      <c r="J191" s="21"/>
      <c r="K191" s="19"/>
      <c r="L191" s="23"/>
      <c r="M191" s="23"/>
      <c r="O191" s="18"/>
    </row>
    <row r="192" spans="3:15" ht="18" customHeight="1" x14ac:dyDescent="0.3">
      <c r="C192" s="19"/>
      <c r="D192" s="19"/>
      <c r="E192" s="19"/>
      <c r="F192" s="20"/>
      <c r="G192" s="20"/>
      <c r="H192" s="21"/>
      <c r="I192" s="22"/>
      <c r="J192" s="21"/>
      <c r="K192" s="19"/>
      <c r="L192" s="23"/>
      <c r="M192" s="23"/>
      <c r="O192" s="18"/>
    </row>
    <row r="193" spans="3:15" ht="18" customHeight="1" x14ac:dyDescent="0.3">
      <c r="C193" s="19"/>
      <c r="D193" s="19"/>
      <c r="E193" s="19"/>
      <c r="F193" s="20"/>
      <c r="G193" s="20"/>
      <c r="H193" s="21"/>
      <c r="I193" s="22"/>
      <c r="J193" s="21"/>
      <c r="K193" s="19"/>
      <c r="L193" s="23"/>
      <c r="M193" s="23"/>
      <c r="O193" s="18"/>
    </row>
    <row r="194" spans="3:15" ht="18" customHeight="1" x14ac:dyDescent="0.3">
      <c r="C194" s="19"/>
      <c r="D194" s="19"/>
      <c r="E194" s="19"/>
      <c r="F194" s="20"/>
      <c r="G194" s="20"/>
      <c r="H194" s="21"/>
      <c r="I194" s="22"/>
      <c r="J194" s="21"/>
      <c r="K194" s="19"/>
      <c r="L194" s="23"/>
      <c r="M194" s="23"/>
      <c r="O194" s="18"/>
    </row>
    <row r="195" spans="3:15" ht="18" customHeight="1" x14ac:dyDescent="0.3">
      <c r="C195" s="19"/>
      <c r="D195" s="19"/>
      <c r="E195" s="19"/>
      <c r="F195" s="20"/>
      <c r="G195" s="20"/>
      <c r="H195" s="21"/>
      <c r="I195" s="22"/>
      <c r="J195" s="21"/>
      <c r="K195" s="19"/>
      <c r="L195" s="23"/>
      <c r="M195" s="23"/>
      <c r="O195" s="18"/>
    </row>
    <row r="196" spans="3:15" ht="18" customHeight="1" x14ac:dyDescent="0.3">
      <c r="C196" s="19"/>
      <c r="D196" s="19"/>
      <c r="E196" s="19"/>
      <c r="F196" s="20"/>
      <c r="G196" s="20"/>
      <c r="H196" s="21"/>
      <c r="I196" s="22"/>
      <c r="J196" s="21"/>
      <c r="K196" s="19"/>
      <c r="L196" s="23"/>
      <c r="M196" s="23"/>
      <c r="O196" s="18"/>
    </row>
    <row r="197" spans="3:15" ht="18" customHeight="1" x14ac:dyDescent="0.3">
      <c r="C197" s="19"/>
      <c r="D197" s="19"/>
      <c r="E197" s="19"/>
      <c r="F197" s="20"/>
      <c r="G197" s="20"/>
      <c r="H197" s="21"/>
      <c r="I197" s="22"/>
      <c r="J197" s="21"/>
      <c r="K197" s="19"/>
      <c r="L197" s="23"/>
      <c r="M197" s="23"/>
      <c r="O197" s="18"/>
    </row>
    <row r="198" spans="3:15" ht="18" customHeight="1" x14ac:dyDescent="0.3">
      <c r="C198" s="19"/>
      <c r="D198" s="19"/>
      <c r="E198" s="19"/>
      <c r="F198" s="20"/>
      <c r="G198" s="20"/>
      <c r="H198" s="21"/>
      <c r="I198" s="22"/>
      <c r="J198" s="21"/>
      <c r="K198" s="19"/>
      <c r="L198" s="23"/>
      <c r="M198" s="23"/>
      <c r="O198" s="18"/>
    </row>
    <row r="199" spans="3:15" ht="18" customHeight="1" x14ac:dyDescent="0.3">
      <c r="C199" s="19"/>
      <c r="D199" s="19"/>
      <c r="E199" s="19"/>
      <c r="F199" s="20"/>
      <c r="G199" s="20"/>
      <c r="H199" s="21"/>
      <c r="I199" s="22"/>
      <c r="J199" s="21"/>
      <c r="K199" s="19"/>
      <c r="L199" s="23"/>
      <c r="M199" s="23"/>
      <c r="O199" s="18"/>
    </row>
    <row r="200" spans="3:15" ht="18" customHeight="1" x14ac:dyDescent="0.3">
      <c r="C200" s="19"/>
      <c r="D200" s="19"/>
      <c r="E200" s="19"/>
      <c r="F200" s="20"/>
      <c r="G200" s="20"/>
      <c r="H200" s="21"/>
      <c r="I200" s="22"/>
      <c r="J200" s="21"/>
      <c r="K200" s="19"/>
      <c r="L200" s="23"/>
      <c r="M200" s="23"/>
      <c r="O200" s="18"/>
    </row>
    <row r="201" spans="3:15" ht="18" customHeight="1" x14ac:dyDescent="0.3">
      <c r="C201" s="19"/>
      <c r="D201" s="19"/>
      <c r="E201" s="19"/>
      <c r="F201" s="20"/>
      <c r="G201" s="20"/>
      <c r="H201" s="21"/>
      <c r="I201" s="22"/>
      <c r="J201" s="21"/>
      <c r="K201" s="19"/>
      <c r="L201" s="23"/>
      <c r="M201" s="23"/>
      <c r="O201" s="18"/>
    </row>
    <row r="202" spans="3:15" ht="18" customHeight="1" x14ac:dyDescent="0.3">
      <c r="C202" s="19"/>
      <c r="D202" s="19"/>
      <c r="E202" s="19"/>
      <c r="F202" s="20"/>
      <c r="G202" s="20"/>
      <c r="H202" s="21"/>
      <c r="I202" s="22"/>
      <c r="J202" s="21"/>
      <c r="K202" s="19"/>
      <c r="L202" s="23"/>
      <c r="M202" s="23"/>
      <c r="O202" s="18"/>
    </row>
    <row r="203" spans="3:15" ht="18" customHeight="1" x14ac:dyDescent="0.3">
      <c r="C203" s="19"/>
      <c r="D203" s="19"/>
      <c r="E203" s="19"/>
      <c r="F203" s="20"/>
      <c r="G203" s="20"/>
      <c r="H203" s="21"/>
      <c r="I203" s="22"/>
      <c r="J203" s="21"/>
      <c r="K203" s="19"/>
      <c r="L203" s="23"/>
      <c r="M203" s="23"/>
      <c r="O203" s="18"/>
    </row>
    <row r="204" spans="3:15" ht="18" customHeight="1" x14ac:dyDescent="0.3">
      <c r="C204" s="19"/>
      <c r="D204" s="19"/>
      <c r="E204" s="19"/>
      <c r="F204" s="20"/>
      <c r="G204" s="20"/>
      <c r="H204" s="21"/>
      <c r="I204" s="22"/>
      <c r="J204" s="21"/>
      <c r="K204" s="19"/>
      <c r="L204" s="23"/>
      <c r="M204" s="23"/>
      <c r="O204" s="18"/>
    </row>
    <row r="205" spans="3:15" ht="18" customHeight="1" x14ac:dyDescent="0.3">
      <c r="C205" s="19"/>
      <c r="D205" s="19"/>
      <c r="E205" s="19"/>
      <c r="F205" s="20"/>
      <c r="G205" s="20"/>
      <c r="H205" s="21"/>
      <c r="I205" s="22"/>
      <c r="J205" s="21"/>
      <c r="K205" s="19"/>
      <c r="L205" s="23"/>
      <c r="M205" s="23"/>
      <c r="O205" s="18"/>
    </row>
    <row r="206" spans="3:15" ht="18" customHeight="1" x14ac:dyDescent="0.3">
      <c r="C206" s="19"/>
      <c r="D206" s="19"/>
      <c r="E206" s="19"/>
      <c r="F206" s="20"/>
      <c r="G206" s="20"/>
      <c r="H206" s="21"/>
      <c r="I206" s="22"/>
      <c r="J206" s="21"/>
      <c r="K206" s="19"/>
      <c r="L206" s="23"/>
      <c r="M206" s="23"/>
      <c r="O206" s="18"/>
    </row>
    <row r="207" spans="3:15" ht="18" customHeight="1" x14ac:dyDescent="0.3">
      <c r="C207" s="19"/>
      <c r="D207" s="19"/>
      <c r="E207" s="19"/>
      <c r="F207" s="20"/>
      <c r="G207" s="20"/>
      <c r="H207" s="21"/>
      <c r="I207" s="22"/>
      <c r="J207" s="21"/>
      <c r="K207" s="19"/>
      <c r="L207" s="23"/>
      <c r="M207" s="23"/>
      <c r="O207" s="18"/>
    </row>
    <row r="208" spans="3:15" ht="18" customHeight="1" x14ac:dyDescent="0.3">
      <c r="C208" s="19"/>
      <c r="D208" s="19"/>
      <c r="E208" s="19"/>
      <c r="F208" s="20"/>
      <c r="G208" s="20"/>
      <c r="H208" s="21"/>
      <c r="I208" s="22"/>
      <c r="J208" s="21"/>
      <c r="K208" s="19"/>
      <c r="L208" s="23"/>
      <c r="M208" s="23"/>
      <c r="O208" s="18"/>
    </row>
    <row r="209" spans="3:15" ht="18" customHeight="1" x14ac:dyDescent="0.3">
      <c r="C209" s="19"/>
      <c r="D209" s="19"/>
      <c r="E209" s="19"/>
      <c r="F209" s="20"/>
      <c r="G209" s="20"/>
      <c r="H209" s="21"/>
      <c r="I209" s="22"/>
      <c r="J209" s="21"/>
      <c r="K209" s="19"/>
      <c r="L209" s="23"/>
      <c r="M209" s="23"/>
      <c r="O209" s="18"/>
    </row>
    <row r="210" spans="3:15" ht="18" customHeight="1" x14ac:dyDescent="0.3">
      <c r="C210" s="19"/>
      <c r="D210" s="19"/>
      <c r="E210" s="19"/>
      <c r="F210" s="20"/>
      <c r="G210" s="20"/>
      <c r="H210" s="21"/>
      <c r="I210" s="22"/>
      <c r="J210" s="21"/>
      <c r="K210" s="19"/>
      <c r="L210" s="23"/>
      <c r="M210" s="23"/>
      <c r="O210" s="18"/>
    </row>
    <row r="211" spans="3:15" ht="18" customHeight="1" x14ac:dyDescent="0.3">
      <c r="C211" s="19"/>
      <c r="D211" s="19"/>
      <c r="E211" s="19"/>
      <c r="F211" s="20"/>
      <c r="G211" s="20"/>
      <c r="H211" s="21"/>
      <c r="I211" s="22"/>
      <c r="J211" s="21"/>
      <c r="K211" s="19"/>
      <c r="L211" s="23"/>
      <c r="M211" s="23"/>
      <c r="O211" s="18"/>
    </row>
    <row r="212" spans="3:15" ht="18" customHeight="1" x14ac:dyDescent="0.3">
      <c r="C212" s="19"/>
      <c r="D212" s="19"/>
      <c r="E212" s="19"/>
      <c r="F212" s="20"/>
      <c r="G212" s="20"/>
      <c r="H212" s="21"/>
      <c r="I212" s="22"/>
      <c r="J212" s="21"/>
      <c r="K212" s="19"/>
      <c r="L212" s="23"/>
      <c r="M212" s="23"/>
      <c r="O212" s="18"/>
    </row>
    <row r="213" spans="3:15" ht="18" customHeight="1" x14ac:dyDescent="0.3">
      <c r="C213" s="19"/>
      <c r="D213" s="19"/>
      <c r="E213" s="19"/>
      <c r="F213" s="20"/>
      <c r="G213" s="20"/>
      <c r="H213" s="21"/>
      <c r="I213" s="22"/>
      <c r="J213" s="21"/>
      <c r="K213" s="19"/>
      <c r="L213" s="23"/>
      <c r="M213" s="23"/>
      <c r="O213" s="18"/>
    </row>
    <row r="214" spans="3:15" ht="18" customHeight="1" x14ac:dyDescent="0.3">
      <c r="C214" s="19"/>
      <c r="D214" s="19"/>
      <c r="E214" s="19"/>
      <c r="F214" s="20"/>
      <c r="G214" s="20"/>
      <c r="H214" s="21"/>
      <c r="I214" s="22"/>
      <c r="J214" s="21"/>
      <c r="K214" s="19"/>
      <c r="L214" s="23"/>
      <c r="M214" s="23"/>
      <c r="O214" s="18"/>
    </row>
    <row r="215" spans="3:15" ht="18" customHeight="1" x14ac:dyDescent="0.3">
      <c r="C215" s="19"/>
      <c r="D215" s="19"/>
      <c r="E215" s="19"/>
      <c r="F215" s="20"/>
      <c r="G215" s="20"/>
      <c r="H215" s="21"/>
      <c r="I215" s="22"/>
      <c r="J215" s="21"/>
      <c r="K215" s="19"/>
      <c r="L215" s="23"/>
      <c r="M215" s="23"/>
      <c r="O215" s="18"/>
    </row>
    <row r="216" spans="3:15" ht="18" customHeight="1" x14ac:dyDescent="0.3">
      <c r="C216" s="19"/>
      <c r="D216" s="19"/>
      <c r="E216" s="19"/>
      <c r="F216" s="20"/>
      <c r="G216" s="20"/>
      <c r="H216" s="21"/>
      <c r="I216" s="22"/>
      <c r="J216" s="21"/>
      <c r="K216" s="19"/>
      <c r="L216" s="23"/>
      <c r="M216" s="23"/>
      <c r="O216" s="18"/>
    </row>
    <row r="217" spans="3:15" ht="18" customHeight="1" x14ac:dyDescent="0.3">
      <c r="C217" s="19"/>
      <c r="D217" s="19"/>
      <c r="E217" s="19"/>
      <c r="F217" s="20"/>
      <c r="G217" s="20"/>
      <c r="H217" s="21"/>
      <c r="I217" s="22"/>
      <c r="J217" s="21"/>
      <c r="K217" s="19"/>
      <c r="L217" s="23"/>
      <c r="M217" s="23"/>
      <c r="O217" s="18"/>
    </row>
    <row r="218" spans="3:15" ht="18" customHeight="1" x14ac:dyDescent="0.3">
      <c r="C218" s="19"/>
      <c r="D218" s="19"/>
      <c r="E218" s="19"/>
      <c r="F218" s="20"/>
      <c r="G218" s="20"/>
      <c r="H218" s="21"/>
      <c r="I218" s="22"/>
      <c r="J218" s="21"/>
      <c r="K218" s="19"/>
      <c r="L218" s="23"/>
      <c r="M218" s="23"/>
      <c r="O218" s="18"/>
    </row>
    <row r="219" spans="3:15" ht="18" customHeight="1" x14ac:dyDescent="0.3">
      <c r="C219" s="19"/>
      <c r="D219" s="19"/>
      <c r="E219" s="19"/>
      <c r="F219" s="20"/>
      <c r="G219" s="20"/>
      <c r="H219" s="21"/>
      <c r="I219" s="22"/>
      <c r="J219" s="21"/>
      <c r="K219" s="19"/>
      <c r="L219" s="23"/>
      <c r="M219" s="23"/>
      <c r="O219" s="18"/>
    </row>
    <row r="220" spans="3:15" ht="18" customHeight="1" x14ac:dyDescent="0.3">
      <c r="C220" s="19"/>
      <c r="D220" s="19"/>
      <c r="E220" s="19"/>
      <c r="F220" s="20"/>
      <c r="G220" s="20"/>
      <c r="H220" s="21"/>
      <c r="I220" s="22"/>
      <c r="J220" s="21"/>
      <c r="K220" s="19"/>
      <c r="L220" s="23"/>
      <c r="M220" s="23"/>
      <c r="O220" s="18"/>
    </row>
    <row r="221" spans="3:15" ht="18" customHeight="1" x14ac:dyDescent="0.3">
      <c r="C221" s="19"/>
      <c r="D221" s="19"/>
      <c r="E221" s="19"/>
      <c r="F221" s="20"/>
      <c r="G221" s="20"/>
      <c r="H221" s="21"/>
      <c r="I221" s="22"/>
      <c r="J221" s="21"/>
      <c r="K221" s="19"/>
      <c r="L221" s="23"/>
      <c r="M221" s="23"/>
      <c r="O221" s="18"/>
    </row>
    <row r="222" spans="3:15" ht="18" customHeight="1" x14ac:dyDescent="0.3">
      <c r="C222" s="19"/>
      <c r="D222" s="19"/>
      <c r="E222" s="19"/>
      <c r="F222" s="20"/>
      <c r="G222" s="20"/>
      <c r="H222" s="21"/>
      <c r="I222" s="22"/>
      <c r="J222" s="21"/>
      <c r="K222" s="19"/>
      <c r="L222" s="23"/>
      <c r="M222" s="23"/>
      <c r="O222" s="18"/>
    </row>
    <row r="223" spans="3:15" ht="18" customHeight="1" x14ac:dyDescent="0.3">
      <c r="C223" s="19"/>
      <c r="D223" s="19"/>
      <c r="E223" s="19"/>
      <c r="F223" s="20"/>
      <c r="G223" s="20"/>
      <c r="H223" s="21"/>
      <c r="I223" s="22"/>
      <c r="J223" s="21"/>
      <c r="K223" s="19"/>
      <c r="L223" s="23"/>
      <c r="M223" s="23"/>
      <c r="O223" s="18"/>
    </row>
    <row r="224" spans="3:15" ht="18" customHeight="1" x14ac:dyDescent="0.3">
      <c r="C224" s="19"/>
      <c r="D224" s="19"/>
      <c r="E224" s="19"/>
      <c r="F224" s="20"/>
      <c r="G224" s="20"/>
      <c r="H224" s="21"/>
      <c r="I224" s="22"/>
      <c r="J224" s="21"/>
      <c r="K224" s="19"/>
      <c r="L224" s="23"/>
      <c r="M224" s="23"/>
      <c r="O224" s="18"/>
    </row>
    <row r="225" spans="3:15" ht="18" customHeight="1" x14ac:dyDescent="0.3">
      <c r="C225" s="19"/>
      <c r="D225" s="19"/>
      <c r="E225" s="19"/>
      <c r="F225" s="20"/>
      <c r="G225" s="20"/>
      <c r="H225" s="21"/>
      <c r="I225" s="22"/>
      <c r="J225" s="21"/>
      <c r="K225" s="19"/>
      <c r="L225" s="23"/>
      <c r="M225" s="23"/>
      <c r="O225" s="18"/>
    </row>
    <row r="226" spans="3:15" ht="18" customHeight="1" x14ac:dyDescent="0.3">
      <c r="C226" s="19"/>
      <c r="D226" s="19"/>
      <c r="E226" s="19"/>
      <c r="F226" s="20"/>
      <c r="G226" s="20"/>
      <c r="H226" s="21"/>
      <c r="I226" s="22"/>
      <c r="J226" s="21"/>
      <c r="K226" s="19"/>
      <c r="L226" s="23"/>
      <c r="M226" s="23"/>
      <c r="O226" s="18"/>
    </row>
    <row r="227" spans="3:15" ht="18" customHeight="1" x14ac:dyDescent="0.3">
      <c r="C227" s="19"/>
      <c r="D227" s="19"/>
      <c r="E227" s="19"/>
      <c r="F227" s="20"/>
      <c r="G227" s="20"/>
      <c r="H227" s="21"/>
      <c r="I227" s="22"/>
      <c r="J227" s="21"/>
      <c r="K227" s="19"/>
      <c r="L227" s="23"/>
      <c r="M227" s="23"/>
      <c r="O227" s="18"/>
    </row>
    <row r="228" spans="3:15" ht="18" customHeight="1" x14ac:dyDescent="0.3">
      <c r="C228" s="19"/>
      <c r="D228" s="19"/>
      <c r="E228" s="19"/>
      <c r="F228" s="20"/>
      <c r="G228" s="20"/>
      <c r="H228" s="21"/>
      <c r="I228" s="22"/>
      <c r="J228" s="21"/>
      <c r="K228" s="19"/>
      <c r="L228" s="23"/>
      <c r="M228" s="23"/>
      <c r="O228" s="18"/>
    </row>
    <row r="229" spans="3:15" ht="18" customHeight="1" x14ac:dyDescent="0.3">
      <c r="C229" s="19"/>
      <c r="D229" s="19"/>
      <c r="E229" s="19"/>
      <c r="F229" s="20"/>
      <c r="G229" s="20"/>
      <c r="H229" s="21"/>
      <c r="I229" s="22"/>
      <c r="J229" s="21"/>
      <c r="K229" s="19"/>
      <c r="L229" s="23"/>
      <c r="M229" s="23"/>
      <c r="O229" s="18"/>
    </row>
    <row r="230" spans="3:15" ht="18" customHeight="1" x14ac:dyDescent="0.3">
      <c r="C230" s="19"/>
      <c r="D230" s="19"/>
      <c r="E230" s="19"/>
      <c r="F230" s="20"/>
      <c r="G230" s="20"/>
      <c r="H230" s="21"/>
      <c r="I230" s="22"/>
      <c r="J230" s="21"/>
      <c r="K230" s="19"/>
      <c r="L230" s="23"/>
      <c r="M230" s="23"/>
      <c r="O230" s="18"/>
    </row>
    <row r="231" spans="3:15" ht="18" customHeight="1" x14ac:dyDescent="0.3">
      <c r="C231" s="19"/>
      <c r="D231" s="19"/>
      <c r="E231" s="19"/>
      <c r="F231" s="20"/>
      <c r="G231" s="20"/>
      <c r="H231" s="21"/>
      <c r="I231" s="22"/>
      <c r="J231" s="21"/>
      <c r="K231" s="19"/>
      <c r="L231" s="23"/>
      <c r="M231" s="23"/>
      <c r="O231" s="18"/>
    </row>
    <row r="232" spans="3:15" ht="18" customHeight="1" x14ac:dyDescent="0.3">
      <c r="C232" s="19"/>
      <c r="D232" s="19"/>
      <c r="E232" s="19"/>
      <c r="F232" s="20"/>
      <c r="G232" s="20"/>
      <c r="H232" s="21"/>
      <c r="I232" s="22"/>
      <c r="J232" s="21"/>
      <c r="K232" s="19"/>
      <c r="L232" s="23"/>
      <c r="M232" s="23"/>
      <c r="O232" s="18"/>
    </row>
    <row r="233" spans="3:15" ht="18" customHeight="1" x14ac:dyDescent="0.3">
      <c r="C233" s="19"/>
      <c r="D233" s="19"/>
      <c r="E233" s="19"/>
      <c r="F233" s="20"/>
      <c r="G233" s="20"/>
      <c r="H233" s="21"/>
      <c r="I233" s="22"/>
      <c r="J233" s="21"/>
      <c r="K233" s="19"/>
      <c r="L233" s="23"/>
      <c r="M233" s="23"/>
      <c r="O233" s="18"/>
    </row>
    <row r="234" spans="3:15" ht="18" customHeight="1" x14ac:dyDescent="0.3">
      <c r="C234" s="19"/>
      <c r="D234" s="19"/>
      <c r="E234" s="19"/>
      <c r="F234" s="20"/>
      <c r="G234" s="20"/>
      <c r="H234" s="21"/>
      <c r="I234" s="22"/>
      <c r="J234" s="21"/>
      <c r="K234" s="19"/>
      <c r="L234" s="23"/>
      <c r="M234" s="23"/>
      <c r="O234" s="18"/>
    </row>
    <row r="235" spans="3:15" ht="18" customHeight="1" x14ac:dyDescent="0.3">
      <c r="C235" s="19"/>
      <c r="D235" s="19"/>
      <c r="E235" s="19"/>
      <c r="F235" s="20"/>
      <c r="G235" s="20"/>
      <c r="H235" s="21"/>
      <c r="I235" s="22"/>
      <c r="J235" s="21"/>
      <c r="K235" s="19"/>
      <c r="L235" s="23"/>
      <c r="M235" s="23"/>
      <c r="O235" s="18"/>
    </row>
    <row r="236" spans="3:15" ht="18" customHeight="1" x14ac:dyDescent="0.3">
      <c r="C236" s="19"/>
      <c r="D236" s="19"/>
      <c r="E236" s="19"/>
      <c r="F236" s="20"/>
      <c r="G236" s="20"/>
      <c r="H236" s="21"/>
      <c r="I236" s="22"/>
      <c r="J236" s="21"/>
      <c r="K236" s="19"/>
      <c r="L236" s="23"/>
      <c r="M236" s="23"/>
      <c r="O236" s="18"/>
    </row>
    <row r="237" spans="3:15" ht="18" customHeight="1" x14ac:dyDescent="0.3">
      <c r="C237" s="19"/>
      <c r="D237" s="19"/>
      <c r="E237" s="19"/>
      <c r="F237" s="20"/>
      <c r="G237" s="20"/>
      <c r="H237" s="21"/>
      <c r="I237" s="22"/>
      <c r="J237" s="21"/>
      <c r="K237" s="19"/>
      <c r="L237" s="23"/>
      <c r="M237" s="23"/>
      <c r="O237" s="18"/>
    </row>
    <row r="238" spans="3:15" ht="18" customHeight="1" x14ac:dyDescent="0.3">
      <c r="C238" s="19"/>
      <c r="D238" s="19"/>
      <c r="E238" s="19"/>
      <c r="F238" s="20"/>
      <c r="G238" s="20"/>
      <c r="H238" s="21"/>
      <c r="I238" s="22"/>
      <c r="J238" s="21"/>
      <c r="K238" s="19"/>
      <c r="L238" s="23"/>
      <c r="M238" s="23"/>
      <c r="O238" s="18"/>
    </row>
    <row r="239" spans="3:15" ht="18" customHeight="1" x14ac:dyDescent="0.3">
      <c r="C239" s="19"/>
      <c r="D239" s="19"/>
      <c r="E239" s="19"/>
      <c r="F239" s="20"/>
      <c r="G239" s="20"/>
      <c r="H239" s="21"/>
      <c r="I239" s="22"/>
      <c r="J239" s="21"/>
      <c r="K239" s="19"/>
      <c r="L239" s="23"/>
      <c r="M239" s="23"/>
      <c r="O239" s="18"/>
    </row>
    <row r="240" spans="3:15" ht="18" customHeight="1" x14ac:dyDescent="0.3">
      <c r="C240" s="19"/>
      <c r="D240" s="19"/>
      <c r="E240" s="19"/>
      <c r="F240" s="20"/>
      <c r="G240" s="20"/>
      <c r="H240" s="21"/>
      <c r="I240" s="22"/>
      <c r="J240" s="21"/>
      <c r="K240" s="19"/>
      <c r="L240" s="23"/>
      <c r="M240" s="23"/>
      <c r="O240" s="18"/>
    </row>
    <row r="241" spans="3:15" ht="18" customHeight="1" x14ac:dyDescent="0.3">
      <c r="C241" s="19"/>
      <c r="D241" s="19"/>
      <c r="E241" s="19"/>
      <c r="F241" s="20"/>
      <c r="G241" s="20"/>
      <c r="H241" s="21"/>
      <c r="I241" s="22"/>
      <c r="J241" s="21"/>
      <c r="K241" s="19"/>
      <c r="L241" s="23"/>
      <c r="M241" s="23"/>
      <c r="O241" s="18"/>
    </row>
    <row r="242" spans="3:15" ht="18" customHeight="1" x14ac:dyDescent="0.3">
      <c r="C242" s="19"/>
      <c r="D242" s="19"/>
      <c r="E242" s="19"/>
      <c r="F242" s="20"/>
      <c r="G242" s="20"/>
      <c r="H242" s="21"/>
      <c r="I242" s="22"/>
      <c r="J242" s="21"/>
      <c r="K242" s="19"/>
      <c r="L242" s="23"/>
      <c r="M242" s="23"/>
      <c r="O242" s="18"/>
    </row>
    <row r="243" spans="3:15" ht="18" customHeight="1" x14ac:dyDescent="0.3">
      <c r="C243" s="19"/>
      <c r="D243" s="19"/>
      <c r="E243" s="19"/>
      <c r="F243" s="20"/>
      <c r="G243" s="20"/>
      <c r="H243" s="21"/>
      <c r="I243" s="22"/>
      <c r="J243" s="21"/>
      <c r="K243" s="19"/>
      <c r="L243" s="23"/>
      <c r="M243" s="23"/>
      <c r="O243" s="18"/>
    </row>
    <row r="244" spans="3:15" ht="18" customHeight="1" x14ac:dyDescent="0.3">
      <c r="C244" s="19"/>
      <c r="D244" s="19"/>
      <c r="E244" s="19"/>
      <c r="F244" s="20"/>
      <c r="G244" s="20"/>
      <c r="H244" s="21"/>
      <c r="I244" s="22"/>
      <c r="J244" s="21"/>
      <c r="K244" s="19"/>
      <c r="L244" s="23"/>
      <c r="M244" s="23"/>
      <c r="O244" s="18"/>
    </row>
    <row r="245" spans="3:15" ht="18" customHeight="1" x14ac:dyDescent="0.3">
      <c r="C245" s="19"/>
      <c r="D245" s="19"/>
      <c r="E245" s="19"/>
      <c r="F245" s="20"/>
      <c r="G245" s="20"/>
      <c r="H245" s="21"/>
      <c r="I245" s="22"/>
      <c r="J245" s="21"/>
      <c r="K245" s="19"/>
      <c r="L245" s="23"/>
      <c r="M245" s="23"/>
      <c r="O245" s="18"/>
    </row>
    <row r="246" spans="3:15" ht="18" customHeight="1" x14ac:dyDescent="0.3">
      <c r="C246" s="19"/>
      <c r="D246" s="19"/>
      <c r="E246" s="19"/>
      <c r="F246" s="20"/>
      <c r="G246" s="20"/>
      <c r="H246" s="21"/>
      <c r="I246" s="22"/>
      <c r="J246" s="21"/>
      <c r="K246" s="19"/>
      <c r="L246" s="23"/>
      <c r="M246" s="23"/>
      <c r="O246" s="18"/>
    </row>
    <row r="247" spans="3:15" ht="18" customHeight="1" x14ac:dyDescent="0.3">
      <c r="C247" s="19"/>
      <c r="D247" s="19"/>
      <c r="E247" s="19"/>
      <c r="F247" s="20"/>
      <c r="G247" s="20"/>
      <c r="H247" s="21"/>
      <c r="I247" s="22"/>
      <c r="J247" s="21"/>
      <c r="K247" s="19"/>
      <c r="L247" s="23"/>
      <c r="M247" s="23"/>
      <c r="O247" s="18"/>
    </row>
    <row r="248" spans="3:15" ht="18" customHeight="1" x14ac:dyDescent="0.3">
      <c r="C248" s="19"/>
      <c r="D248" s="19"/>
      <c r="E248" s="19"/>
      <c r="F248" s="20"/>
      <c r="G248" s="20"/>
      <c r="H248" s="21"/>
      <c r="I248" s="22"/>
      <c r="J248" s="21"/>
      <c r="K248" s="19"/>
      <c r="L248" s="23"/>
      <c r="M248" s="23"/>
      <c r="O248" s="18"/>
    </row>
    <row r="249" spans="3:15" ht="18" customHeight="1" x14ac:dyDescent="0.3">
      <c r="C249" s="19"/>
      <c r="D249" s="19"/>
      <c r="E249" s="19"/>
      <c r="F249" s="20"/>
      <c r="G249" s="20"/>
      <c r="H249" s="21"/>
      <c r="I249" s="22"/>
      <c r="J249" s="21"/>
      <c r="K249" s="19"/>
      <c r="L249" s="23"/>
      <c r="M249" s="23"/>
      <c r="O249" s="18"/>
    </row>
    <row r="250" spans="3:15" ht="18" customHeight="1" x14ac:dyDescent="0.3">
      <c r="C250" s="19"/>
      <c r="D250" s="19"/>
      <c r="E250" s="19"/>
      <c r="F250" s="20"/>
      <c r="G250" s="20"/>
      <c r="H250" s="21"/>
      <c r="I250" s="22"/>
      <c r="J250" s="21"/>
      <c r="K250" s="19"/>
      <c r="L250" s="23"/>
      <c r="M250" s="23"/>
      <c r="O250" s="18"/>
    </row>
    <row r="251" spans="3:15" ht="18" customHeight="1" x14ac:dyDescent="0.3">
      <c r="C251" s="19"/>
      <c r="D251" s="19"/>
      <c r="E251" s="19"/>
      <c r="F251" s="20"/>
      <c r="G251" s="20"/>
      <c r="H251" s="21"/>
      <c r="I251" s="22"/>
      <c r="J251" s="21"/>
      <c r="K251" s="19"/>
      <c r="L251" s="23"/>
      <c r="M251" s="23"/>
      <c r="O251" s="18"/>
    </row>
    <row r="252" spans="3:15" ht="18" customHeight="1" x14ac:dyDescent="0.3">
      <c r="C252" s="19"/>
      <c r="D252" s="19"/>
      <c r="E252" s="19"/>
      <c r="F252" s="20"/>
      <c r="G252" s="20"/>
      <c r="H252" s="21"/>
      <c r="I252" s="22"/>
      <c r="J252" s="21"/>
      <c r="K252" s="19"/>
      <c r="L252" s="23"/>
      <c r="M252" s="23"/>
      <c r="O252" s="18"/>
    </row>
    <row r="253" spans="3:15" ht="18" customHeight="1" x14ac:dyDescent="0.3">
      <c r="C253" s="19"/>
      <c r="D253" s="19"/>
      <c r="E253" s="19"/>
      <c r="F253" s="20"/>
      <c r="G253" s="20"/>
      <c r="H253" s="21"/>
      <c r="I253" s="22"/>
      <c r="J253" s="21"/>
      <c r="K253" s="19"/>
      <c r="L253" s="23"/>
      <c r="M253" s="23"/>
      <c r="O253" s="18"/>
    </row>
    <row r="254" spans="3:15" ht="18" customHeight="1" x14ac:dyDescent="0.3">
      <c r="C254" s="19"/>
      <c r="D254" s="19"/>
      <c r="E254" s="19"/>
      <c r="F254" s="20"/>
      <c r="G254" s="20"/>
      <c r="H254" s="21"/>
      <c r="I254" s="22"/>
      <c r="J254" s="21"/>
      <c r="K254" s="19"/>
      <c r="L254" s="23"/>
      <c r="M254" s="23"/>
      <c r="O254" s="18"/>
    </row>
    <row r="255" spans="3:15" ht="18" customHeight="1" x14ac:dyDescent="0.3">
      <c r="C255" s="19"/>
      <c r="D255" s="19"/>
      <c r="E255" s="19"/>
      <c r="F255" s="20"/>
      <c r="G255" s="20"/>
      <c r="H255" s="21"/>
      <c r="I255" s="22"/>
      <c r="J255" s="21"/>
      <c r="K255" s="19"/>
      <c r="L255" s="23"/>
      <c r="M255" s="23"/>
      <c r="O255" s="18"/>
    </row>
    <row r="256" spans="3:15" ht="18" customHeight="1" x14ac:dyDescent="0.3">
      <c r="C256" s="19"/>
      <c r="D256" s="19"/>
      <c r="E256" s="19"/>
      <c r="F256" s="20"/>
      <c r="G256" s="20"/>
      <c r="H256" s="21"/>
      <c r="I256" s="22"/>
      <c r="J256" s="21"/>
      <c r="K256" s="19"/>
      <c r="L256" s="23"/>
      <c r="M256" s="23"/>
      <c r="O256" s="18"/>
    </row>
    <row r="257" spans="3:15" ht="18" customHeight="1" x14ac:dyDescent="0.3">
      <c r="C257" s="19"/>
      <c r="D257" s="19"/>
      <c r="E257" s="19"/>
      <c r="F257" s="20"/>
      <c r="G257" s="20"/>
      <c r="H257" s="21"/>
      <c r="I257" s="22"/>
      <c r="J257" s="21"/>
      <c r="K257" s="19"/>
      <c r="L257" s="23"/>
      <c r="M257" s="23"/>
      <c r="O257" s="18"/>
    </row>
    <row r="258" spans="3:15" ht="18" customHeight="1" x14ac:dyDescent="0.3">
      <c r="C258" s="19"/>
      <c r="D258" s="19"/>
      <c r="E258" s="19"/>
      <c r="F258" s="20"/>
      <c r="G258" s="20"/>
      <c r="H258" s="21"/>
      <c r="I258" s="22"/>
      <c r="J258" s="21"/>
      <c r="K258" s="19"/>
      <c r="L258" s="23"/>
      <c r="M258" s="23"/>
      <c r="O258" s="18"/>
    </row>
    <row r="259" spans="3:15" ht="18" customHeight="1" x14ac:dyDescent="0.3">
      <c r="C259" s="19"/>
      <c r="D259" s="19"/>
      <c r="E259" s="19"/>
      <c r="F259" s="20"/>
      <c r="G259" s="20"/>
      <c r="H259" s="21"/>
      <c r="I259" s="22"/>
      <c r="J259" s="21"/>
      <c r="K259" s="19"/>
      <c r="L259" s="23"/>
      <c r="M259" s="23"/>
      <c r="O259" s="18"/>
    </row>
    <row r="260" spans="3:15" ht="18" customHeight="1" x14ac:dyDescent="0.3">
      <c r="C260" s="19"/>
      <c r="D260" s="19"/>
      <c r="E260" s="19"/>
      <c r="F260" s="20"/>
      <c r="G260" s="20"/>
      <c r="H260" s="21"/>
      <c r="I260" s="22"/>
      <c r="J260" s="21"/>
      <c r="K260" s="19"/>
      <c r="L260" s="23"/>
      <c r="M260" s="23"/>
      <c r="O260" s="18"/>
    </row>
    <row r="261" spans="3:15" ht="18" customHeight="1" x14ac:dyDescent="0.3">
      <c r="C261" s="19"/>
      <c r="D261" s="19"/>
      <c r="E261" s="19"/>
      <c r="F261" s="20"/>
      <c r="G261" s="20"/>
      <c r="H261" s="21"/>
      <c r="I261" s="22"/>
      <c r="J261" s="21"/>
      <c r="K261" s="19"/>
      <c r="L261" s="23"/>
      <c r="M261" s="23"/>
      <c r="O261" s="18"/>
    </row>
    <row r="262" spans="3:15" ht="18" customHeight="1" x14ac:dyDescent="0.3">
      <c r="C262" s="19"/>
      <c r="D262" s="19"/>
      <c r="E262" s="19"/>
      <c r="F262" s="20"/>
      <c r="G262" s="20"/>
      <c r="H262" s="21"/>
      <c r="I262" s="22"/>
      <c r="J262" s="21"/>
      <c r="K262" s="19"/>
      <c r="L262" s="23"/>
      <c r="M262" s="23"/>
      <c r="O262" s="18"/>
    </row>
    <row r="263" spans="3:15" ht="18" customHeight="1" x14ac:dyDescent="0.3">
      <c r="C263" s="19"/>
      <c r="D263" s="19"/>
      <c r="E263" s="19"/>
      <c r="F263" s="20"/>
      <c r="G263" s="20"/>
      <c r="H263" s="21"/>
      <c r="I263" s="22"/>
      <c r="J263" s="21"/>
      <c r="K263" s="19"/>
      <c r="L263" s="23"/>
      <c r="M263" s="23"/>
      <c r="O263" s="18"/>
    </row>
    <row r="264" spans="3:15" ht="18" customHeight="1" x14ac:dyDescent="0.3">
      <c r="C264" s="19"/>
      <c r="D264" s="19"/>
      <c r="E264" s="19"/>
      <c r="F264" s="20"/>
      <c r="G264" s="20"/>
      <c r="H264" s="21"/>
      <c r="I264" s="22"/>
      <c r="J264" s="21"/>
      <c r="K264" s="19"/>
      <c r="L264" s="23"/>
      <c r="M264" s="23"/>
      <c r="O264" s="18"/>
    </row>
    <row r="265" spans="3:15" ht="18" customHeight="1" x14ac:dyDescent="0.3">
      <c r="C265" s="19"/>
      <c r="D265" s="19"/>
      <c r="E265" s="19"/>
      <c r="F265" s="20"/>
      <c r="G265" s="20"/>
      <c r="H265" s="21"/>
      <c r="I265" s="22"/>
      <c r="J265" s="21"/>
      <c r="K265" s="19"/>
      <c r="L265" s="23"/>
      <c r="M265" s="23"/>
      <c r="O265" s="18"/>
    </row>
    <row r="266" spans="3:15" ht="18" customHeight="1" x14ac:dyDescent="0.3">
      <c r="C266" s="19"/>
      <c r="D266" s="19"/>
      <c r="E266" s="19"/>
      <c r="F266" s="20"/>
      <c r="G266" s="20"/>
      <c r="H266" s="21"/>
      <c r="I266" s="22"/>
      <c r="J266" s="21"/>
      <c r="K266" s="19"/>
      <c r="L266" s="23"/>
      <c r="M266" s="23"/>
      <c r="O266" s="18"/>
    </row>
    <row r="267" spans="3:15" ht="18" customHeight="1" x14ac:dyDescent="0.3">
      <c r="C267" s="19"/>
      <c r="D267" s="19"/>
      <c r="E267" s="19"/>
      <c r="F267" s="20"/>
      <c r="G267" s="20"/>
      <c r="H267" s="21"/>
      <c r="I267" s="22"/>
      <c r="J267" s="21"/>
      <c r="K267" s="19"/>
      <c r="L267" s="23"/>
      <c r="M267" s="23"/>
      <c r="O267" s="18"/>
    </row>
    <row r="268" spans="3:15" ht="18" customHeight="1" x14ac:dyDescent="0.3">
      <c r="C268" s="19"/>
      <c r="D268" s="19"/>
      <c r="E268" s="19"/>
      <c r="F268" s="20"/>
      <c r="G268" s="20"/>
      <c r="H268" s="21"/>
      <c r="I268" s="22"/>
      <c r="J268" s="21"/>
      <c r="K268" s="19"/>
      <c r="L268" s="23"/>
      <c r="M268" s="23"/>
      <c r="O268" s="18"/>
    </row>
    <row r="269" spans="3:15" ht="18" customHeight="1" x14ac:dyDescent="0.3">
      <c r="C269" s="19"/>
      <c r="D269" s="19"/>
      <c r="E269" s="19"/>
      <c r="F269" s="20"/>
      <c r="G269" s="20"/>
      <c r="H269" s="21"/>
      <c r="I269" s="22"/>
      <c r="J269" s="21"/>
      <c r="K269" s="19"/>
      <c r="L269" s="23"/>
      <c r="M269" s="23"/>
      <c r="O269" s="18"/>
    </row>
    <row r="270" spans="3:15" ht="18" customHeight="1" x14ac:dyDescent="0.3">
      <c r="C270" s="19"/>
      <c r="D270" s="19"/>
      <c r="E270" s="19"/>
      <c r="F270" s="20"/>
      <c r="G270" s="20"/>
      <c r="H270" s="21"/>
      <c r="I270" s="22"/>
      <c r="J270" s="21"/>
      <c r="K270" s="19"/>
      <c r="L270" s="23"/>
      <c r="M270" s="23"/>
      <c r="O270" s="18"/>
    </row>
    <row r="271" spans="3:15" ht="18" customHeight="1" x14ac:dyDescent="0.3">
      <c r="C271" s="19"/>
      <c r="D271" s="19"/>
      <c r="E271" s="19"/>
      <c r="F271" s="20"/>
      <c r="G271" s="20"/>
      <c r="H271" s="21"/>
      <c r="I271" s="22"/>
      <c r="J271" s="21"/>
      <c r="K271" s="19"/>
      <c r="L271" s="23"/>
      <c r="M271" s="23"/>
      <c r="O271" s="18"/>
    </row>
    <row r="272" spans="3:15" ht="18" customHeight="1" x14ac:dyDescent="0.3">
      <c r="C272" s="19"/>
      <c r="D272" s="19"/>
      <c r="E272" s="19"/>
      <c r="F272" s="20"/>
      <c r="G272" s="20"/>
      <c r="H272" s="21"/>
      <c r="I272" s="22"/>
      <c r="J272" s="21"/>
      <c r="K272" s="19"/>
      <c r="L272" s="23"/>
      <c r="M272" s="23"/>
      <c r="O272" s="18"/>
    </row>
    <row r="273" spans="3:15" ht="18" customHeight="1" x14ac:dyDescent="0.3">
      <c r="C273" s="19"/>
      <c r="D273" s="19"/>
      <c r="E273" s="19"/>
      <c r="F273" s="20"/>
      <c r="G273" s="20"/>
      <c r="H273" s="21"/>
      <c r="I273" s="22"/>
      <c r="J273" s="21"/>
      <c r="K273" s="19"/>
      <c r="L273" s="23"/>
      <c r="M273" s="23"/>
      <c r="O273" s="18"/>
    </row>
    <row r="274" spans="3:15" ht="18" customHeight="1" x14ac:dyDescent="0.3">
      <c r="C274" s="19"/>
      <c r="D274" s="19"/>
      <c r="E274" s="19"/>
      <c r="F274" s="20"/>
      <c r="G274" s="20"/>
      <c r="H274" s="21"/>
      <c r="I274" s="22"/>
      <c r="J274" s="21"/>
      <c r="K274" s="19"/>
      <c r="L274" s="23"/>
      <c r="M274" s="23"/>
      <c r="O274" s="18"/>
    </row>
    <row r="275" spans="3:15" ht="18" customHeight="1" x14ac:dyDescent="0.3">
      <c r="C275" s="19"/>
      <c r="D275" s="19"/>
      <c r="E275" s="19"/>
      <c r="F275" s="20"/>
      <c r="G275" s="20"/>
      <c r="H275" s="21"/>
      <c r="I275" s="22"/>
      <c r="J275" s="21"/>
      <c r="K275" s="19"/>
      <c r="L275" s="23"/>
      <c r="M275" s="23"/>
      <c r="O275" s="18"/>
    </row>
    <row r="276" spans="3:15" ht="18" customHeight="1" x14ac:dyDescent="0.3">
      <c r="C276" s="19"/>
      <c r="D276" s="19"/>
      <c r="E276" s="19"/>
      <c r="F276" s="20"/>
      <c r="G276" s="20"/>
      <c r="H276" s="21"/>
      <c r="I276" s="22"/>
      <c r="J276" s="21"/>
      <c r="K276" s="19"/>
      <c r="L276" s="23"/>
      <c r="M276" s="23"/>
      <c r="O276" s="18"/>
    </row>
    <row r="277" spans="3:15" ht="18" customHeight="1" x14ac:dyDescent="0.3">
      <c r="C277" s="19"/>
      <c r="D277" s="19"/>
      <c r="E277" s="19"/>
      <c r="F277" s="20"/>
      <c r="G277" s="20"/>
      <c r="H277" s="21"/>
      <c r="I277" s="22"/>
      <c r="J277" s="21"/>
      <c r="K277" s="19"/>
      <c r="L277" s="23"/>
      <c r="M277" s="23"/>
      <c r="O277" s="18"/>
    </row>
    <row r="278" spans="3:15" ht="18" customHeight="1" x14ac:dyDescent="0.3">
      <c r="C278" s="19"/>
      <c r="D278" s="19"/>
      <c r="E278" s="19"/>
      <c r="F278" s="20"/>
      <c r="G278" s="20"/>
      <c r="H278" s="21"/>
      <c r="I278" s="22"/>
      <c r="J278" s="21"/>
      <c r="K278" s="19"/>
      <c r="L278" s="23"/>
      <c r="M278" s="23"/>
      <c r="O278" s="18"/>
    </row>
    <row r="279" spans="3:15" ht="18" customHeight="1" x14ac:dyDescent="0.3">
      <c r="C279" s="19"/>
      <c r="D279" s="19"/>
      <c r="E279" s="19"/>
      <c r="F279" s="20"/>
      <c r="G279" s="20"/>
      <c r="H279" s="21"/>
      <c r="I279" s="22"/>
      <c r="J279" s="21"/>
      <c r="K279" s="19"/>
      <c r="L279" s="23"/>
      <c r="M279" s="23"/>
      <c r="O279" s="18"/>
    </row>
    <row r="280" spans="3:15" ht="18" customHeight="1" x14ac:dyDescent="0.3">
      <c r="C280" s="19"/>
      <c r="D280" s="19"/>
      <c r="E280" s="19"/>
      <c r="F280" s="20"/>
      <c r="G280" s="20"/>
      <c r="H280" s="21"/>
      <c r="I280" s="22"/>
      <c r="J280" s="21"/>
      <c r="K280" s="19"/>
      <c r="L280" s="23"/>
      <c r="M280" s="23"/>
      <c r="O280" s="18"/>
    </row>
    <row r="281" spans="3:15" ht="18" customHeight="1" x14ac:dyDescent="0.3">
      <c r="C281" s="19"/>
      <c r="D281" s="19"/>
      <c r="E281" s="19"/>
      <c r="F281" s="20"/>
      <c r="G281" s="20"/>
      <c r="H281" s="21"/>
      <c r="I281" s="22"/>
      <c r="J281" s="21"/>
      <c r="K281" s="19"/>
      <c r="L281" s="23"/>
      <c r="M281" s="23"/>
      <c r="O281" s="18"/>
    </row>
    <row r="282" spans="3:15" ht="18" customHeight="1" x14ac:dyDescent="0.3">
      <c r="C282" s="19"/>
      <c r="D282" s="19"/>
      <c r="E282" s="19"/>
      <c r="F282" s="20"/>
      <c r="G282" s="20"/>
      <c r="H282" s="21"/>
      <c r="I282" s="22"/>
      <c r="J282" s="21"/>
      <c r="K282" s="19"/>
      <c r="L282" s="23"/>
      <c r="M282" s="23"/>
      <c r="O282" s="18"/>
    </row>
    <row r="283" spans="3:15" ht="18" customHeight="1" x14ac:dyDescent="0.3">
      <c r="C283" s="19"/>
      <c r="D283" s="19"/>
      <c r="E283" s="19"/>
      <c r="F283" s="20"/>
      <c r="G283" s="20"/>
      <c r="H283" s="21"/>
      <c r="I283" s="22"/>
      <c r="J283" s="21"/>
      <c r="K283" s="19"/>
      <c r="L283" s="23"/>
      <c r="M283" s="23"/>
      <c r="O283" s="18"/>
    </row>
    <row r="284" spans="3:15" ht="18" customHeight="1" x14ac:dyDescent="0.3">
      <c r="C284" s="19"/>
      <c r="D284" s="19"/>
      <c r="E284" s="19"/>
      <c r="F284" s="20"/>
      <c r="G284" s="20"/>
      <c r="H284" s="21"/>
      <c r="I284" s="22"/>
      <c r="J284" s="21"/>
      <c r="K284" s="19"/>
      <c r="L284" s="23"/>
      <c r="M284" s="23"/>
      <c r="O284" s="18"/>
    </row>
    <row r="285" spans="3:15" ht="18" customHeight="1" x14ac:dyDescent="0.3">
      <c r="C285" s="19"/>
      <c r="D285" s="19"/>
      <c r="E285" s="19"/>
      <c r="F285" s="20"/>
      <c r="G285" s="20"/>
      <c r="H285" s="21"/>
      <c r="I285" s="22"/>
      <c r="J285" s="21"/>
      <c r="K285" s="19"/>
      <c r="L285" s="23"/>
      <c r="M285" s="23"/>
      <c r="O285" s="18"/>
    </row>
    <row r="286" spans="3:15" ht="18" customHeight="1" x14ac:dyDescent="0.3">
      <c r="C286" s="19"/>
      <c r="D286" s="19"/>
      <c r="E286" s="19"/>
      <c r="F286" s="20"/>
      <c r="G286" s="20"/>
      <c r="H286" s="21"/>
      <c r="I286" s="22"/>
      <c r="J286" s="21"/>
      <c r="K286" s="19"/>
      <c r="L286" s="23"/>
      <c r="M286" s="23"/>
      <c r="O286" s="18"/>
    </row>
    <row r="287" spans="3:15" ht="18" customHeight="1" x14ac:dyDescent="0.3">
      <c r="C287" s="19"/>
      <c r="D287" s="19"/>
      <c r="E287" s="19"/>
      <c r="F287" s="20"/>
      <c r="G287" s="20"/>
      <c r="H287" s="21"/>
      <c r="I287" s="22"/>
      <c r="J287" s="21"/>
      <c r="K287" s="19"/>
      <c r="L287" s="23"/>
      <c r="M287" s="23"/>
      <c r="O287" s="18"/>
    </row>
    <row r="288" spans="3:15" ht="18" customHeight="1" x14ac:dyDescent="0.3">
      <c r="C288" s="19"/>
      <c r="D288" s="19"/>
      <c r="E288" s="19"/>
      <c r="F288" s="20"/>
      <c r="G288" s="20"/>
      <c r="H288" s="21"/>
      <c r="I288" s="22"/>
      <c r="J288" s="21"/>
      <c r="K288" s="19"/>
      <c r="L288" s="23"/>
      <c r="M288" s="23"/>
      <c r="O288" s="18"/>
    </row>
    <row r="289" spans="3:15" ht="18" customHeight="1" x14ac:dyDescent="0.3">
      <c r="C289" s="19"/>
      <c r="D289" s="19"/>
      <c r="E289" s="19"/>
      <c r="F289" s="20"/>
      <c r="G289" s="20"/>
      <c r="H289" s="21"/>
      <c r="I289" s="22"/>
      <c r="J289" s="21"/>
      <c r="K289" s="19"/>
      <c r="L289" s="23"/>
      <c r="M289" s="23"/>
      <c r="O289" s="18"/>
    </row>
    <row r="290" spans="3:15" ht="18" customHeight="1" x14ac:dyDescent="0.3">
      <c r="C290" s="19"/>
      <c r="D290" s="19"/>
      <c r="E290" s="19"/>
      <c r="F290" s="20"/>
      <c r="G290" s="20"/>
      <c r="H290" s="21"/>
      <c r="I290" s="22"/>
      <c r="J290" s="21"/>
      <c r="K290" s="19"/>
      <c r="L290" s="23"/>
      <c r="M290" s="23"/>
      <c r="O290" s="18"/>
    </row>
    <row r="291" spans="3:15" ht="18" customHeight="1" x14ac:dyDescent="0.3">
      <c r="C291" s="19"/>
      <c r="D291" s="19"/>
      <c r="E291" s="19"/>
      <c r="F291" s="20"/>
      <c r="G291" s="20"/>
      <c r="H291" s="21"/>
      <c r="I291" s="22"/>
      <c r="J291" s="21"/>
      <c r="K291" s="19"/>
      <c r="L291" s="23"/>
      <c r="M291" s="23"/>
      <c r="O291" s="18"/>
    </row>
    <row r="292" spans="3:15" ht="18" customHeight="1" x14ac:dyDescent="0.3">
      <c r="C292" s="19"/>
      <c r="D292" s="19"/>
      <c r="E292" s="19"/>
      <c r="F292" s="20"/>
      <c r="G292" s="20"/>
      <c r="H292" s="21"/>
      <c r="I292" s="22"/>
      <c r="J292" s="21"/>
      <c r="K292" s="19"/>
      <c r="L292" s="23"/>
      <c r="M292" s="23"/>
      <c r="O292" s="18"/>
    </row>
    <row r="293" spans="3:15" ht="18" customHeight="1" x14ac:dyDescent="0.3">
      <c r="C293" s="19"/>
      <c r="D293" s="19"/>
      <c r="E293" s="19"/>
      <c r="F293" s="20"/>
      <c r="G293" s="20"/>
      <c r="H293" s="21"/>
      <c r="I293" s="22"/>
      <c r="J293" s="21"/>
      <c r="K293" s="19"/>
      <c r="L293" s="23"/>
      <c r="M293" s="23"/>
      <c r="O293" s="18"/>
    </row>
    <row r="294" spans="3:15" ht="18" customHeight="1" x14ac:dyDescent="0.3">
      <c r="C294" s="19"/>
      <c r="D294" s="19"/>
      <c r="E294" s="19"/>
      <c r="F294" s="20"/>
      <c r="G294" s="20"/>
      <c r="H294" s="21"/>
      <c r="I294" s="22"/>
      <c r="J294" s="21"/>
      <c r="K294" s="19"/>
      <c r="L294" s="23"/>
      <c r="M294" s="23"/>
      <c r="O294" s="18"/>
    </row>
    <row r="295" spans="3:15" ht="18" customHeight="1" x14ac:dyDescent="0.3">
      <c r="C295" s="19"/>
      <c r="D295" s="19"/>
      <c r="E295" s="19"/>
      <c r="F295" s="20"/>
      <c r="G295" s="20"/>
      <c r="H295" s="21"/>
      <c r="I295" s="22"/>
      <c r="J295" s="21"/>
      <c r="K295" s="19"/>
      <c r="L295" s="23"/>
      <c r="M295" s="23"/>
      <c r="O295" s="18"/>
    </row>
    <row r="296" spans="3:15" ht="18" customHeight="1" x14ac:dyDescent="0.3">
      <c r="C296" s="19"/>
      <c r="D296" s="19"/>
      <c r="E296" s="19"/>
      <c r="F296" s="20"/>
      <c r="G296" s="20"/>
      <c r="H296" s="21"/>
      <c r="I296" s="22"/>
      <c r="J296" s="21"/>
      <c r="K296" s="19"/>
      <c r="L296" s="23"/>
      <c r="M296" s="23"/>
      <c r="O296" s="18"/>
    </row>
    <row r="297" spans="3:15" ht="18" customHeight="1" x14ac:dyDescent="0.3">
      <c r="C297" s="19"/>
      <c r="D297" s="19"/>
      <c r="E297" s="19"/>
      <c r="F297" s="20"/>
      <c r="G297" s="20"/>
      <c r="H297" s="21"/>
      <c r="I297" s="22"/>
      <c r="J297" s="21"/>
      <c r="K297" s="19"/>
      <c r="L297" s="23"/>
      <c r="M297" s="23"/>
      <c r="O297" s="18"/>
    </row>
    <row r="298" spans="3:15" ht="18" customHeight="1" x14ac:dyDescent="0.3">
      <c r="C298" s="19"/>
      <c r="D298" s="19"/>
      <c r="E298" s="19"/>
      <c r="F298" s="20"/>
      <c r="G298" s="20"/>
      <c r="H298" s="21"/>
      <c r="I298" s="22"/>
      <c r="J298" s="21"/>
      <c r="K298" s="19"/>
      <c r="L298" s="23"/>
      <c r="M298" s="23"/>
      <c r="O298" s="18"/>
    </row>
    <row r="299" spans="3:15" ht="18" customHeight="1" x14ac:dyDescent="0.3">
      <c r="C299" s="19"/>
      <c r="D299" s="19"/>
      <c r="E299" s="19"/>
      <c r="F299" s="20"/>
      <c r="G299" s="20"/>
      <c r="H299" s="21"/>
      <c r="I299" s="22"/>
      <c r="J299" s="21"/>
      <c r="K299" s="19"/>
      <c r="L299" s="23"/>
      <c r="M299" s="23"/>
      <c r="O299" s="18"/>
    </row>
    <row r="300" spans="3:15" ht="18" customHeight="1" x14ac:dyDescent="0.3">
      <c r="C300" s="19"/>
      <c r="D300" s="19"/>
      <c r="E300" s="19"/>
      <c r="F300" s="20"/>
      <c r="G300" s="20"/>
      <c r="H300" s="21"/>
      <c r="I300" s="22"/>
      <c r="J300" s="21"/>
      <c r="K300" s="19"/>
      <c r="L300" s="23"/>
      <c r="M300" s="23"/>
      <c r="O300" s="18"/>
    </row>
    <row r="301" spans="3:15" ht="18" customHeight="1" x14ac:dyDescent="0.3">
      <c r="C301" s="19"/>
      <c r="D301" s="19"/>
      <c r="E301" s="19"/>
      <c r="F301" s="20"/>
      <c r="G301" s="20"/>
      <c r="H301" s="21"/>
      <c r="I301" s="22"/>
      <c r="J301" s="21"/>
      <c r="K301" s="19"/>
      <c r="L301" s="23"/>
      <c r="M301" s="23"/>
      <c r="O301" s="18"/>
    </row>
    <row r="302" spans="3:15" ht="18" customHeight="1" x14ac:dyDescent="0.3">
      <c r="C302" s="19"/>
      <c r="D302" s="19"/>
      <c r="E302" s="19"/>
      <c r="F302" s="20"/>
      <c r="G302" s="20"/>
      <c r="H302" s="21"/>
      <c r="I302" s="22"/>
      <c r="J302" s="21"/>
      <c r="K302" s="19"/>
      <c r="L302" s="23"/>
      <c r="M302" s="23"/>
      <c r="O302" s="18"/>
    </row>
    <row r="303" spans="3:15" ht="18" customHeight="1" x14ac:dyDescent="0.3">
      <c r="C303" s="19"/>
      <c r="D303" s="19"/>
      <c r="E303" s="19"/>
      <c r="F303" s="20"/>
      <c r="G303" s="20"/>
      <c r="H303" s="21"/>
      <c r="I303" s="22"/>
      <c r="J303" s="21"/>
      <c r="K303" s="19"/>
      <c r="L303" s="23"/>
      <c r="M303" s="23"/>
      <c r="O303" s="18"/>
    </row>
    <row r="304" spans="3:15" ht="18" customHeight="1" x14ac:dyDescent="0.3">
      <c r="C304" s="19"/>
      <c r="D304" s="19"/>
      <c r="E304" s="19"/>
      <c r="F304" s="20"/>
      <c r="G304" s="20"/>
      <c r="H304" s="21"/>
      <c r="I304" s="22"/>
      <c r="J304" s="21"/>
      <c r="K304" s="19"/>
      <c r="L304" s="23"/>
      <c r="M304" s="23"/>
      <c r="O304" s="18"/>
    </row>
    <row r="305" spans="3:15" ht="18" customHeight="1" x14ac:dyDescent="0.3">
      <c r="C305" s="19"/>
      <c r="D305" s="19"/>
      <c r="E305" s="19"/>
      <c r="F305" s="20"/>
      <c r="G305" s="20"/>
      <c r="H305" s="21"/>
      <c r="I305" s="22"/>
      <c r="J305" s="21"/>
      <c r="K305" s="19"/>
      <c r="L305" s="23"/>
      <c r="M305" s="23"/>
      <c r="O305" s="18"/>
    </row>
    <row r="306" spans="3:15" ht="18" customHeight="1" x14ac:dyDescent="0.3">
      <c r="C306" s="19"/>
      <c r="D306" s="19"/>
      <c r="E306" s="19"/>
      <c r="F306" s="20"/>
      <c r="G306" s="20"/>
      <c r="H306" s="21"/>
      <c r="I306" s="22"/>
      <c r="J306" s="21"/>
      <c r="K306" s="19"/>
      <c r="L306" s="23"/>
      <c r="M306" s="23"/>
      <c r="O306" s="18"/>
    </row>
    <row r="307" spans="3:15" ht="18" customHeight="1" x14ac:dyDescent="0.3">
      <c r="C307" s="19"/>
      <c r="D307" s="19"/>
      <c r="E307" s="19"/>
      <c r="F307" s="20"/>
      <c r="G307" s="20"/>
      <c r="H307" s="21"/>
      <c r="I307" s="22"/>
      <c r="J307" s="21"/>
      <c r="K307" s="19"/>
      <c r="L307" s="23"/>
      <c r="M307" s="23"/>
      <c r="O307" s="18"/>
    </row>
    <row r="308" spans="3:15" ht="18" customHeight="1" x14ac:dyDescent="0.3">
      <c r="C308" s="19"/>
      <c r="D308" s="19"/>
      <c r="E308" s="19"/>
      <c r="F308" s="20"/>
      <c r="G308" s="20"/>
      <c r="H308" s="21"/>
      <c r="I308" s="22"/>
      <c r="J308" s="21"/>
      <c r="K308" s="19"/>
      <c r="L308" s="23"/>
      <c r="M308" s="23"/>
      <c r="O308" s="18"/>
    </row>
    <row r="309" spans="3:15" ht="18" customHeight="1" x14ac:dyDescent="0.3">
      <c r="C309" s="19"/>
      <c r="D309" s="19"/>
      <c r="E309" s="19"/>
      <c r="F309" s="20"/>
      <c r="G309" s="20"/>
      <c r="H309" s="21"/>
      <c r="I309" s="22"/>
      <c r="J309" s="21"/>
      <c r="K309" s="19"/>
      <c r="L309" s="23"/>
      <c r="M309" s="23"/>
      <c r="O309" s="18"/>
    </row>
    <row r="310" spans="3:15" ht="18" customHeight="1" x14ac:dyDescent="0.3">
      <c r="C310" s="19"/>
      <c r="D310" s="19"/>
      <c r="E310" s="19"/>
      <c r="F310" s="20"/>
      <c r="G310" s="20"/>
      <c r="H310" s="21"/>
      <c r="I310" s="22"/>
      <c r="J310" s="21"/>
      <c r="K310" s="19"/>
      <c r="L310" s="23"/>
      <c r="M310" s="23"/>
      <c r="O310" s="18"/>
    </row>
    <row r="311" spans="3:15" ht="18" customHeight="1" x14ac:dyDescent="0.3">
      <c r="C311" s="19"/>
      <c r="D311" s="19"/>
      <c r="E311" s="19"/>
      <c r="F311" s="20"/>
      <c r="G311" s="20"/>
      <c r="H311" s="21"/>
      <c r="I311" s="22"/>
      <c r="J311" s="21"/>
      <c r="K311" s="19"/>
      <c r="L311" s="23"/>
      <c r="M311" s="23"/>
      <c r="O311" s="18"/>
    </row>
    <row r="312" spans="3:15" ht="18" customHeight="1" x14ac:dyDescent="0.3">
      <c r="C312" s="19"/>
      <c r="D312" s="19"/>
      <c r="E312" s="19"/>
      <c r="F312" s="20"/>
      <c r="G312" s="20"/>
      <c r="H312" s="21"/>
      <c r="I312" s="22"/>
      <c r="J312" s="21"/>
      <c r="K312" s="19"/>
      <c r="L312" s="23"/>
      <c r="M312" s="23"/>
      <c r="O312" s="18"/>
    </row>
    <row r="313" spans="3:15" ht="18" customHeight="1" x14ac:dyDescent="0.3">
      <c r="C313" s="19"/>
      <c r="D313" s="19"/>
      <c r="E313" s="19"/>
      <c r="F313" s="20"/>
      <c r="G313" s="20"/>
      <c r="H313" s="21"/>
      <c r="I313" s="22"/>
      <c r="J313" s="21"/>
      <c r="K313" s="19"/>
      <c r="L313" s="23"/>
      <c r="M313" s="23"/>
      <c r="O313" s="18"/>
    </row>
    <row r="314" spans="3:15" ht="18" customHeight="1" x14ac:dyDescent="0.3">
      <c r="C314" s="19"/>
      <c r="D314" s="19"/>
      <c r="E314" s="19"/>
      <c r="F314" s="20"/>
      <c r="G314" s="20"/>
      <c r="H314" s="21"/>
      <c r="I314" s="22"/>
      <c r="J314" s="21"/>
      <c r="K314" s="19"/>
      <c r="L314" s="23"/>
      <c r="M314" s="23"/>
      <c r="O314" s="18"/>
    </row>
    <row r="315" spans="3:15" ht="18" customHeight="1" x14ac:dyDescent="0.3">
      <c r="C315" s="19"/>
      <c r="D315" s="19"/>
      <c r="E315" s="19"/>
      <c r="F315" s="20"/>
      <c r="G315" s="20"/>
      <c r="H315" s="21"/>
      <c r="I315" s="22"/>
      <c r="J315" s="21"/>
      <c r="K315" s="19"/>
      <c r="L315" s="23"/>
      <c r="M315" s="23"/>
      <c r="O315" s="18"/>
    </row>
    <row r="316" spans="3:15" ht="18" customHeight="1" x14ac:dyDescent="0.3">
      <c r="C316" s="19"/>
      <c r="D316" s="19"/>
      <c r="E316" s="19"/>
      <c r="F316" s="20"/>
      <c r="G316" s="20"/>
      <c r="H316" s="21"/>
      <c r="I316" s="22"/>
      <c r="J316" s="21"/>
      <c r="K316" s="19"/>
      <c r="L316" s="23"/>
      <c r="M316" s="23"/>
      <c r="O316" s="18"/>
    </row>
    <row r="317" spans="3:15" ht="18" customHeight="1" x14ac:dyDescent="0.3">
      <c r="C317" s="19"/>
      <c r="D317" s="19"/>
      <c r="E317" s="19"/>
      <c r="F317" s="20"/>
      <c r="G317" s="20"/>
      <c r="H317" s="21"/>
      <c r="I317" s="22"/>
      <c r="J317" s="21"/>
      <c r="K317" s="19"/>
      <c r="L317" s="23"/>
      <c r="M317" s="23"/>
      <c r="O317" s="18"/>
    </row>
    <row r="318" spans="3:15" ht="18" customHeight="1" x14ac:dyDescent="0.3">
      <c r="C318" s="19"/>
      <c r="D318" s="19"/>
      <c r="E318" s="19"/>
      <c r="F318" s="20"/>
      <c r="G318" s="20"/>
      <c r="H318" s="21"/>
      <c r="I318" s="22"/>
      <c r="J318" s="21"/>
      <c r="K318" s="19"/>
      <c r="L318" s="23"/>
      <c r="M318" s="23"/>
      <c r="O318" s="18"/>
    </row>
    <row r="319" spans="3:15" ht="18" customHeight="1" x14ac:dyDescent="0.3">
      <c r="C319" s="19"/>
      <c r="D319" s="19"/>
      <c r="E319" s="19"/>
      <c r="F319" s="20"/>
      <c r="G319" s="20"/>
      <c r="H319" s="21"/>
      <c r="I319" s="22"/>
      <c r="J319" s="21"/>
      <c r="K319" s="19"/>
      <c r="L319" s="23"/>
      <c r="M319" s="23"/>
      <c r="O319" s="18"/>
    </row>
    <row r="320" spans="3:15" ht="18" customHeight="1" x14ac:dyDescent="0.3">
      <c r="C320" s="19"/>
      <c r="D320" s="19"/>
      <c r="E320" s="19"/>
      <c r="F320" s="20"/>
      <c r="G320" s="20"/>
      <c r="H320" s="21"/>
      <c r="I320" s="22"/>
      <c r="J320" s="21"/>
      <c r="K320" s="19"/>
      <c r="L320" s="23"/>
      <c r="M320" s="23"/>
      <c r="O320" s="18"/>
    </row>
    <row r="321" spans="3:15" ht="18" customHeight="1" x14ac:dyDescent="0.3">
      <c r="C321" s="19"/>
      <c r="D321" s="19"/>
      <c r="E321" s="19"/>
      <c r="F321" s="20"/>
      <c r="G321" s="20"/>
      <c r="H321" s="21"/>
      <c r="I321" s="22"/>
      <c r="J321" s="21"/>
      <c r="K321" s="19"/>
      <c r="L321" s="23"/>
      <c r="M321" s="23"/>
      <c r="O321" s="18"/>
    </row>
    <row r="322" spans="3:15" ht="18" customHeight="1" x14ac:dyDescent="0.3">
      <c r="C322" s="19"/>
      <c r="D322" s="19"/>
      <c r="E322" s="19"/>
      <c r="F322" s="20"/>
      <c r="G322" s="20"/>
      <c r="H322" s="21"/>
      <c r="I322" s="22"/>
      <c r="J322" s="21"/>
      <c r="K322" s="19"/>
      <c r="L322" s="23"/>
      <c r="M322" s="23"/>
      <c r="O322" s="18"/>
    </row>
    <row r="323" spans="3:15" ht="18" customHeight="1" x14ac:dyDescent="0.3">
      <c r="C323" s="19"/>
      <c r="D323" s="19"/>
      <c r="E323" s="19"/>
      <c r="F323" s="20"/>
      <c r="G323" s="20"/>
      <c r="H323" s="21"/>
      <c r="I323" s="22"/>
      <c r="J323" s="21"/>
      <c r="K323" s="19"/>
      <c r="L323" s="23"/>
      <c r="M323" s="23"/>
      <c r="O323" s="18"/>
    </row>
    <row r="324" spans="3:15" ht="18" customHeight="1" x14ac:dyDescent="0.3">
      <c r="C324" s="19"/>
      <c r="D324" s="19"/>
      <c r="E324" s="19"/>
      <c r="F324" s="20"/>
      <c r="G324" s="20"/>
      <c r="H324" s="21"/>
      <c r="I324" s="22"/>
      <c r="J324" s="21"/>
      <c r="K324" s="19"/>
      <c r="L324" s="23"/>
      <c r="M324" s="23"/>
      <c r="O324" s="18"/>
    </row>
    <row r="325" spans="3:15" ht="18" customHeight="1" x14ac:dyDescent="0.3">
      <c r="C325" s="19"/>
      <c r="D325" s="19"/>
      <c r="E325" s="19"/>
      <c r="F325" s="20"/>
      <c r="G325" s="20"/>
      <c r="H325" s="21"/>
      <c r="I325" s="22"/>
      <c r="J325" s="21"/>
      <c r="K325" s="19"/>
      <c r="L325" s="23"/>
      <c r="M325" s="23"/>
      <c r="O325" s="18"/>
    </row>
    <row r="326" spans="3:15" ht="18" customHeight="1" x14ac:dyDescent="0.3">
      <c r="C326" s="19"/>
      <c r="D326" s="19"/>
      <c r="E326" s="19"/>
      <c r="F326" s="20"/>
      <c r="G326" s="20"/>
      <c r="H326" s="21"/>
      <c r="I326" s="22"/>
      <c r="J326" s="21"/>
      <c r="K326" s="19"/>
      <c r="L326" s="23"/>
      <c r="M326" s="23"/>
      <c r="O326" s="18"/>
    </row>
    <row r="327" spans="3:15" ht="18" customHeight="1" x14ac:dyDescent="0.3">
      <c r="C327" s="19"/>
      <c r="D327" s="19"/>
      <c r="E327" s="19"/>
      <c r="F327" s="20"/>
      <c r="G327" s="20"/>
      <c r="H327" s="21"/>
      <c r="I327" s="22"/>
      <c r="J327" s="21"/>
      <c r="K327" s="19"/>
      <c r="L327" s="23"/>
      <c r="M327" s="23"/>
      <c r="O327" s="18"/>
    </row>
    <row r="328" spans="3:15" ht="18" customHeight="1" x14ac:dyDescent="0.3">
      <c r="C328" s="19"/>
      <c r="D328" s="19"/>
      <c r="E328" s="19"/>
      <c r="F328" s="20"/>
      <c r="G328" s="20"/>
      <c r="H328" s="21"/>
      <c r="I328" s="22"/>
      <c r="J328" s="21"/>
      <c r="K328" s="19"/>
      <c r="L328" s="23"/>
      <c r="M328" s="23"/>
      <c r="O328" s="18"/>
    </row>
    <row r="329" spans="3:15" ht="18" customHeight="1" x14ac:dyDescent="0.3">
      <c r="C329" s="19"/>
      <c r="D329" s="19"/>
      <c r="E329" s="19"/>
      <c r="F329" s="20"/>
      <c r="G329" s="20"/>
      <c r="H329" s="21"/>
      <c r="I329" s="22"/>
      <c r="J329" s="21"/>
      <c r="K329" s="19"/>
      <c r="L329" s="23"/>
      <c r="M329" s="23"/>
      <c r="O329" s="18"/>
    </row>
    <row r="330" spans="3:15" ht="18" customHeight="1" x14ac:dyDescent="0.3">
      <c r="C330" s="19"/>
      <c r="D330" s="19"/>
      <c r="E330" s="19"/>
      <c r="F330" s="20"/>
      <c r="G330" s="20"/>
      <c r="H330" s="21"/>
      <c r="I330" s="22"/>
      <c r="J330" s="21"/>
      <c r="K330" s="19"/>
      <c r="L330" s="23"/>
      <c r="M330" s="23"/>
      <c r="O330" s="18"/>
    </row>
    <row r="331" spans="3:15" ht="18" customHeight="1" x14ac:dyDescent="0.3">
      <c r="C331" s="19"/>
      <c r="D331" s="19"/>
      <c r="E331" s="19"/>
      <c r="F331" s="20"/>
      <c r="G331" s="20"/>
      <c r="H331" s="21"/>
      <c r="I331" s="22"/>
      <c r="J331" s="21"/>
      <c r="K331" s="19"/>
      <c r="L331" s="23"/>
      <c r="M331" s="23"/>
      <c r="O331" s="18"/>
    </row>
    <row r="332" spans="3:15" ht="18" customHeight="1" x14ac:dyDescent="0.3">
      <c r="C332" s="19"/>
      <c r="D332" s="19"/>
      <c r="E332" s="19"/>
      <c r="F332" s="20"/>
      <c r="G332" s="20"/>
      <c r="H332" s="21"/>
      <c r="I332" s="22"/>
      <c r="J332" s="21"/>
      <c r="K332" s="19"/>
      <c r="L332" s="23"/>
      <c r="M332" s="23"/>
      <c r="O332" s="18"/>
    </row>
    <row r="333" spans="3:15" ht="18" customHeight="1" x14ac:dyDescent="0.3">
      <c r="C333" s="19"/>
      <c r="D333" s="19"/>
      <c r="E333" s="19"/>
      <c r="F333" s="20"/>
      <c r="G333" s="20"/>
      <c r="H333" s="21"/>
      <c r="I333" s="22"/>
      <c r="J333" s="21"/>
      <c r="K333" s="19"/>
      <c r="L333" s="23"/>
      <c r="M333" s="23"/>
      <c r="O333" s="18"/>
    </row>
    <row r="334" spans="3:15" ht="18" customHeight="1" x14ac:dyDescent="0.3">
      <c r="C334" s="19"/>
      <c r="D334" s="19"/>
      <c r="E334" s="19"/>
      <c r="F334" s="20"/>
      <c r="G334" s="20"/>
      <c r="H334" s="21"/>
      <c r="I334" s="22"/>
      <c r="J334" s="21"/>
      <c r="K334" s="19"/>
      <c r="L334" s="23"/>
      <c r="M334" s="23"/>
      <c r="O334" s="18"/>
    </row>
    <row r="335" spans="3:15" ht="18" customHeight="1" x14ac:dyDescent="0.3">
      <c r="C335" s="19"/>
      <c r="D335" s="19"/>
      <c r="E335" s="19"/>
      <c r="F335" s="20"/>
      <c r="G335" s="20"/>
      <c r="H335" s="21"/>
      <c r="I335" s="22"/>
      <c r="J335" s="21"/>
      <c r="K335" s="19"/>
      <c r="L335" s="23"/>
      <c r="M335" s="23"/>
      <c r="O335" s="18"/>
    </row>
    <row r="336" spans="3:15" ht="18" customHeight="1" x14ac:dyDescent="0.3">
      <c r="C336" s="19"/>
      <c r="D336" s="19"/>
      <c r="E336" s="19"/>
      <c r="F336" s="20"/>
      <c r="G336" s="20"/>
      <c r="H336" s="21"/>
      <c r="I336" s="22"/>
      <c r="J336" s="21"/>
      <c r="K336" s="19"/>
      <c r="L336" s="23"/>
      <c r="M336" s="23"/>
      <c r="O336" s="18"/>
    </row>
    <row r="337" spans="3:15" ht="18" customHeight="1" x14ac:dyDescent="0.3">
      <c r="C337" s="19"/>
      <c r="D337" s="19"/>
      <c r="E337" s="19"/>
      <c r="F337" s="20"/>
      <c r="G337" s="20"/>
      <c r="H337" s="21"/>
      <c r="I337" s="22"/>
      <c r="J337" s="21"/>
      <c r="K337" s="19"/>
      <c r="L337" s="23"/>
      <c r="M337" s="23"/>
      <c r="O337" s="18"/>
    </row>
    <row r="338" spans="3:15" ht="18" customHeight="1" x14ac:dyDescent="0.3">
      <c r="C338" s="19"/>
      <c r="D338" s="19"/>
      <c r="E338" s="19"/>
      <c r="F338" s="20"/>
      <c r="G338" s="20"/>
      <c r="H338" s="21"/>
      <c r="I338" s="22"/>
      <c r="J338" s="21"/>
      <c r="K338" s="19"/>
      <c r="L338" s="23"/>
      <c r="M338" s="23"/>
      <c r="O338" s="18"/>
    </row>
    <row r="339" spans="3:15" ht="18" customHeight="1" x14ac:dyDescent="0.3">
      <c r="C339" s="19"/>
      <c r="D339" s="19"/>
      <c r="E339" s="19"/>
      <c r="F339" s="20"/>
      <c r="G339" s="20"/>
      <c r="H339" s="21"/>
      <c r="I339" s="22"/>
      <c r="J339" s="21"/>
      <c r="K339" s="19"/>
      <c r="L339" s="23"/>
      <c r="M339" s="23"/>
      <c r="O339" s="18"/>
    </row>
    <row r="340" spans="3:15" ht="18" customHeight="1" x14ac:dyDescent="0.3">
      <c r="C340" s="19"/>
      <c r="D340" s="19"/>
      <c r="E340" s="19"/>
      <c r="F340" s="20"/>
      <c r="G340" s="20"/>
      <c r="H340" s="21"/>
      <c r="I340" s="22"/>
      <c r="J340" s="21"/>
      <c r="K340" s="19"/>
      <c r="L340" s="23"/>
      <c r="M340" s="23"/>
      <c r="O340" s="18"/>
    </row>
    <row r="341" spans="3:15" ht="18" customHeight="1" x14ac:dyDescent="0.3">
      <c r="C341" s="19"/>
      <c r="D341" s="19"/>
      <c r="E341" s="19"/>
      <c r="F341" s="20"/>
      <c r="G341" s="20"/>
      <c r="H341" s="21"/>
      <c r="I341" s="22"/>
      <c r="J341" s="21"/>
      <c r="K341" s="19"/>
      <c r="L341" s="23"/>
      <c r="M341" s="23"/>
      <c r="O341" s="18"/>
    </row>
    <row r="342" spans="3:15" ht="18" customHeight="1" x14ac:dyDescent="0.3">
      <c r="C342" s="19"/>
      <c r="D342" s="19"/>
      <c r="E342" s="19"/>
      <c r="F342" s="20"/>
      <c r="G342" s="20"/>
      <c r="H342" s="21"/>
      <c r="I342" s="22"/>
      <c r="J342" s="21"/>
      <c r="K342" s="19"/>
      <c r="L342" s="23"/>
      <c r="M342" s="23"/>
      <c r="O342" s="18"/>
    </row>
    <row r="343" spans="3:15" ht="18" customHeight="1" x14ac:dyDescent="0.3">
      <c r="C343" s="19"/>
      <c r="D343" s="19"/>
      <c r="E343" s="19"/>
      <c r="F343" s="20"/>
      <c r="G343" s="20"/>
      <c r="H343" s="21"/>
      <c r="I343" s="22"/>
      <c r="J343" s="21"/>
      <c r="K343" s="19"/>
      <c r="L343" s="23"/>
      <c r="M343" s="23"/>
      <c r="O343" s="18"/>
    </row>
    <row r="344" spans="3:15" ht="18" customHeight="1" x14ac:dyDescent="0.3">
      <c r="C344" s="19"/>
      <c r="D344" s="19"/>
      <c r="E344" s="19"/>
      <c r="F344" s="20"/>
      <c r="G344" s="20"/>
      <c r="H344" s="21"/>
      <c r="I344" s="22"/>
      <c r="J344" s="21"/>
      <c r="K344" s="19"/>
      <c r="L344" s="23"/>
      <c r="M344" s="23"/>
      <c r="O344" s="18"/>
    </row>
    <row r="345" spans="3:15" ht="18" customHeight="1" x14ac:dyDescent="0.3">
      <c r="C345" s="19"/>
      <c r="D345" s="19"/>
      <c r="E345" s="19"/>
      <c r="F345" s="20"/>
      <c r="G345" s="20"/>
      <c r="H345" s="21"/>
      <c r="I345" s="22"/>
      <c r="J345" s="21"/>
      <c r="K345" s="19"/>
      <c r="L345" s="23"/>
      <c r="M345" s="23"/>
      <c r="O345" s="18"/>
    </row>
    <row r="346" spans="3:15" ht="18" customHeight="1" x14ac:dyDescent="0.3">
      <c r="C346" s="19"/>
      <c r="D346" s="19"/>
      <c r="E346" s="19"/>
      <c r="F346" s="20"/>
      <c r="G346" s="20"/>
      <c r="H346" s="21"/>
      <c r="I346" s="22"/>
      <c r="J346" s="21"/>
      <c r="K346" s="19"/>
      <c r="L346" s="23"/>
      <c r="M346" s="23"/>
      <c r="O346" s="18"/>
    </row>
    <row r="347" spans="3:15" ht="18" customHeight="1" x14ac:dyDescent="0.3">
      <c r="C347" s="19"/>
      <c r="D347" s="19"/>
      <c r="E347" s="19"/>
      <c r="F347" s="20"/>
      <c r="G347" s="20"/>
      <c r="H347" s="21"/>
      <c r="I347" s="22"/>
      <c r="J347" s="21"/>
      <c r="K347" s="19"/>
      <c r="L347" s="23"/>
      <c r="M347" s="23"/>
      <c r="O347" s="18"/>
    </row>
    <row r="348" spans="3:15" ht="18" customHeight="1" x14ac:dyDescent="0.3">
      <c r="C348" s="19"/>
      <c r="D348" s="19"/>
      <c r="E348" s="19"/>
      <c r="F348" s="20"/>
      <c r="G348" s="20"/>
      <c r="H348" s="21"/>
      <c r="I348" s="22"/>
      <c r="J348" s="21"/>
      <c r="K348" s="19"/>
      <c r="L348" s="23"/>
      <c r="M348" s="23"/>
      <c r="O348" s="18"/>
    </row>
    <row r="349" spans="3:15" ht="18" customHeight="1" x14ac:dyDescent="0.3">
      <c r="C349" s="19"/>
      <c r="D349" s="19"/>
      <c r="E349" s="19"/>
      <c r="F349" s="20"/>
      <c r="G349" s="20"/>
      <c r="H349" s="21"/>
      <c r="I349" s="22"/>
      <c r="J349" s="21"/>
      <c r="K349" s="19"/>
      <c r="L349" s="23"/>
      <c r="M349" s="23"/>
      <c r="O349" s="18"/>
    </row>
    <row r="350" spans="3:15" ht="18" customHeight="1" x14ac:dyDescent="0.3">
      <c r="C350" s="19"/>
      <c r="D350" s="19"/>
      <c r="E350" s="19"/>
      <c r="F350" s="20"/>
      <c r="G350" s="20"/>
      <c r="H350" s="21"/>
      <c r="I350" s="22"/>
      <c r="J350" s="21"/>
      <c r="K350" s="19"/>
      <c r="L350" s="23"/>
      <c r="M350" s="23"/>
      <c r="O350" s="18"/>
    </row>
    <row r="351" spans="3:15" ht="18" customHeight="1" x14ac:dyDescent="0.3">
      <c r="C351" s="19"/>
      <c r="D351" s="19"/>
      <c r="E351" s="19"/>
      <c r="F351" s="20"/>
      <c r="G351" s="20"/>
      <c r="H351" s="21"/>
      <c r="I351" s="22"/>
      <c r="J351" s="21"/>
      <c r="K351" s="19"/>
      <c r="L351" s="23"/>
      <c r="M351" s="23"/>
      <c r="O351" s="18"/>
    </row>
    <row r="352" spans="3:15" ht="18" customHeight="1" x14ac:dyDescent="0.3">
      <c r="C352" s="19"/>
      <c r="D352" s="19"/>
      <c r="E352" s="19"/>
      <c r="F352" s="20"/>
      <c r="G352" s="20"/>
      <c r="H352" s="21"/>
      <c r="I352" s="22"/>
      <c r="J352" s="21"/>
      <c r="K352" s="19"/>
      <c r="L352" s="23"/>
      <c r="M352" s="23"/>
      <c r="O352" s="18"/>
    </row>
    <row r="353" spans="3:15" ht="18" customHeight="1" x14ac:dyDescent="0.3">
      <c r="C353" s="19"/>
      <c r="D353" s="19"/>
      <c r="E353" s="19"/>
      <c r="F353" s="20"/>
      <c r="G353" s="20"/>
      <c r="H353" s="21"/>
      <c r="I353" s="22"/>
      <c r="J353" s="21"/>
      <c r="K353" s="19"/>
      <c r="L353" s="23"/>
      <c r="M353" s="23"/>
      <c r="O353" s="18"/>
    </row>
    <row r="354" spans="3:15" ht="18" customHeight="1" x14ac:dyDescent="0.3">
      <c r="C354" s="19"/>
      <c r="D354" s="19"/>
      <c r="E354" s="19"/>
      <c r="F354" s="20"/>
      <c r="G354" s="20"/>
      <c r="H354" s="21"/>
      <c r="I354" s="22"/>
      <c r="J354" s="21"/>
      <c r="K354" s="19"/>
      <c r="L354" s="23"/>
      <c r="M354" s="23"/>
      <c r="O354" s="18"/>
    </row>
    <row r="355" spans="3:15" ht="18" customHeight="1" x14ac:dyDescent="0.3">
      <c r="C355" s="19"/>
      <c r="D355" s="19"/>
      <c r="E355" s="19"/>
      <c r="F355" s="20"/>
      <c r="G355" s="20"/>
      <c r="H355" s="21"/>
      <c r="I355" s="22"/>
      <c r="J355" s="21"/>
      <c r="K355" s="19"/>
      <c r="L355" s="23"/>
      <c r="M355" s="23"/>
      <c r="O355" s="18"/>
    </row>
    <row r="356" spans="3:15" ht="18" customHeight="1" x14ac:dyDescent="0.3">
      <c r="C356" s="19"/>
      <c r="D356" s="19"/>
      <c r="E356" s="19"/>
      <c r="F356" s="20"/>
      <c r="G356" s="20"/>
      <c r="H356" s="21"/>
      <c r="I356" s="22"/>
      <c r="J356" s="21"/>
      <c r="K356" s="19"/>
      <c r="L356" s="23"/>
      <c r="M356" s="23"/>
      <c r="O356" s="18"/>
    </row>
    <row r="357" spans="3:15" ht="18" customHeight="1" x14ac:dyDescent="0.3">
      <c r="C357" s="19"/>
      <c r="D357" s="19"/>
      <c r="E357" s="19"/>
      <c r="F357" s="20"/>
      <c r="G357" s="20"/>
      <c r="H357" s="21"/>
      <c r="I357" s="22"/>
      <c r="J357" s="21"/>
      <c r="K357" s="19"/>
      <c r="L357" s="23"/>
      <c r="M357" s="23"/>
      <c r="O357" s="18"/>
    </row>
    <row r="358" spans="3:15" ht="18" customHeight="1" x14ac:dyDescent="0.3">
      <c r="C358" s="19"/>
      <c r="D358" s="19"/>
      <c r="E358" s="19"/>
      <c r="F358" s="20"/>
      <c r="G358" s="20"/>
      <c r="H358" s="21"/>
      <c r="I358" s="22"/>
      <c r="J358" s="21"/>
      <c r="K358" s="19"/>
      <c r="L358" s="23"/>
      <c r="M358" s="23"/>
      <c r="O358" s="18"/>
    </row>
    <row r="359" spans="3:15" ht="18" customHeight="1" x14ac:dyDescent="0.3">
      <c r="C359" s="19"/>
      <c r="D359" s="19"/>
      <c r="E359" s="19"/>
      <c r="F359" s="20"/>
      <c r="G359" s="20"/>
      <c r="H359" s="21"/>
      <c r="I359" s="22"/>
      <c r="J359" s="21"/>
      <c r="K359" s="19"/>
      <c r="L359" s="23"/>
      <c r="M359" s="23"/>
      <c r="O359" s="18"/>
    </row>
    <row r="360" spans="3:15" ht="18" customHeight="1" x14ac:dyDescent="0.3">
      <c r="C360" s="19"/>
      <c r="D360" s="19"/>
      <c r="E360" s="19"/>
      <c r="F360" s="20"/>
      <c r="G360" s="20"/>
      <c r="H360" s="21"/>
      <c r="I360" s="22"/>
      <c r="J360" s="21"/>
      <c r="K360" s="19"/>
      <c r="L360" s="23"/>
      <c r="M360" s="23"/>
      <c r="O360" s="18"/>
    </row>
    <row r="361" spans="3:15" ht="18" customHeight="1" x14ac:dyDescent="0.3">
      <c r="C361" s="19"/>
      <c r="D361" s="19"/>
      <c r="E361" s="19"/>
      <c r="F361" s="20"/>
      <c r="G361" s="20"/>
      <c r="H361" s="21"/>
      <c r="I361" s="22"/>
      <c r="J361" s="21"/>
      <c r="K361" s="19"/>
      <c r="L361" s="23"/>
      <c r="M361" s="23"/>
      <c r="O361" s="18"/>
    </row>
    <row r="362" spans="3:15" ht="18" customHeight="1" x14ac:dyDescent="0.3">
      <c r="C362" s="19"/>
      <c r="D362" s="19"/>
      <c r="E362" s="19"/>
      <c r="F362" s="20"/>
      <c r="G362" s="20"/>
      <c r="H362" s="21"/>
      <c r="I362" s="22"/>
      <c r="J362" s="21"/>
      <c r="K362" s="19"/>
      <c r="L362" s="23"/>
      <c r="M362" s="23"/>
      <c r="O362" s="18"/>
    </row>
    <row r="363" spans="3:15" ht="18" customHeight="1" x14ac:dyDescent="0.3">
      <c r="C363" s="19"/>
      <c r="D363" s="19"/>
      <c r="E363" s="19"/>
      <c r="F363" s="20"/>
      <c r="G363" s="20"/>
      <c r="H363" s="21"/>
      <c r="I363" s="22"/>
      <c r="J363" s="21"/>
      <c r="K363" s="19"/>
      <c r="L363" s="23"/>
      <c r="M363" s="23"/>
      <c r="O363" s="18"/>
    </row>
    <row r="364" spans="3:15" ht="18" customHeight="1" x14ac:dyDescent="0.3">
      <c r="C364" s="19"/>
      <c r="D364" s="19"/>
      <c r="E364" s="19"/>
      <c r="F364" s="20"/>
      <c r="G364" s="20"/>
      <c r="H364" s="21"/>
      <c r="I364" s="22"/>
      <c r="J364" s="21"/>
      <c r="K364" s="19"/>
      <c r="L364" s="23"/>
      <c r="M364" s="23"/>
      <c r="O364" s="18"/>
    </row>
    <row r="365" spans="3:15" ht="18" customHeight="1" x14ac:dyDescent="0.3">
      <c r="C365" s="19"/>
      <c r="D365" s="19"/>
      <c r="E365" s="19"/>
      <c r="F365" s="20"/>
      <c r="G365" s="20"/>
      <c r="H365" s="21"/>
      <c r="I365" s="22"/>
      <c r="J365" s="21"/>
      <c r="K365" s="19"/>
      <c r="L365" s="23"/>
      <c r="M365" s="23"/>
      <c r="O365" s="18"/>
    </row>
    <row r="366" spans="3:15" ht="18" customHeight="1" x14ac:dyDescent="0.3">
      <c r="C366" s="19"/>
      <c r="D366" s="19"/>
      <c r="E366" s="19"/>
      <c r="F366" s="20"/>
      <c r="G366" s="20"/>
      <c r="H366" s="21"/>
      <c r="I366" s="22"/>
      <c r="J366" s="21"/>
      <c r="K366" s="19"/>
      <c r="L366" s="23"/>
      <c r="M366" s="23"/>
      <c r="O366" s="18"/>
    </row>
    <row r="367" spans="3:15" ht="18" customHeight="1" x14ac:dyDescent="0.3">
      <c r="C367" s="19"/>
      <c r="D367" s="19"/>
      <c r="E367" s="19"/>
      <c r="F367" s="20"/>
      <c r="G367" s="20"/>
      <c r="H367" s="21"/>
      <c r="I367" s="22"/>
      <c r="J367" s="21"/>
      <c r="K367" s="19"/>
      <c r="L367" s="23"/>
      <c r="M367" s="23"/>
      <c r="O367" s="18"/>
    </row>
    <row r="368" spans="3:15" ht="18" customHeight="1" x14ac:dyDescent="0.3">
      <c r="C368" s="19"/>
      <c r="D368" s="19"/>
      <c r="E368" s="19"/>
      <c r="F368" s="20"/>
      <c r="G368" s="20"/>
      <c r="H368" s="21"/>
      <c r="I368" s="22"/>
      <c r="J368" s="21"/>
      <c r="K368" s="19"/>
      <c r="L368" s="23"/>
      <c r="M368" s="23"/>
      <c r="O368" s="18"/>
    </row>
    <row r="369" spans="3:15" ht="18" customHeight="1" x14ac:dyDescent="0.3">
      <c r="C369" s="19"/>
      <c r="D369" s="19"/>
      <c r="E369" s="19"/>
      <c r="F369" s="20"/>
      <c r="G369" s="20"/>
      <c r="H369" s="21"/>
      <c r="I369" s="22"/>
      <c r="J369" s="21"/>
      <c r="K369" s="19"/>
      <c r="L369" s="23"/>
      <c r="M369" s="23"/>
      <c r="O369" s="18"/>
    </row>
    <row r="370" spans="3:15" ht="18" customHeight="1" x14ac:dyDescent="0.3">
      <c r="C370" s="19"/>
      <c r="D370" s="19"/>
      <c r="E370" s="19"/>
      <c r="F370" s="20"/>
      <c r="G370" s="20"/>
      <c r="H370" s="21"/>
      <c r="I370" s="22"/>
      <c r="J370" s="21"/>
      <c r="K370" s="19"/>
      <c r="L370" s="23"/>
      <c r="M370" s="23"/>
      <c r="O370" s="18"/>
    </row>
    <row r="371" spans="3:15" ht="18" customHeight="1" x14ac:dyDescent="0.3">
      <c r="C371" s="19"/>
      <c r="D371" s="19"/>
      <c r="E371" s="19"/>
      <c r="F371" s="20"/>
      <c r="G371" s="20"/>
      <c r="H371" s="21"/>
      <c r="I371" s="22"/>
      <c r="J371" s="21"/>
      <c r="K371" s="19"/>
      <c r="L371" s="23"/>
      <c r="M371" s="23"/>
      <c r="O371" s="18"/>
    </row>
    <row r="372" spans="3:15" ht="18" customHeight="1" x14ac:dyDescent="0.3">
      <c r="C372" s="19"/>
      <c r="D372" s="19"/>
      <c r="E372" s="19"/>
      <c r="F372" s="20"/>
      <c r="G372" s="20"/>
      <c r="H372" s="21"/>
      <c r="I372" s="22"/>
      <c r="J372" s="21"/>
      <c r="K372" s="19"/>
      <c r="L372" s="23"/>
      <c r="M372" s="23"/>
      <c r="O372" s="18"/>
    </row>
    <row r="373" spans="3:15" ht="18" customHeight="1" x14ac:dyDescent="0.3">
      <c r="C373" s="19"/>
      <c r="D373" s="19"/>
      <c r="E373" s="19"/>
      <c r="F373" s="20"/>
      <c r="G373" s="20"/>
      <c r="H373" s="21"/>
      <c r="I373" s="22"/>
      <c r="J373" s="21"/>
      <c r="K373" s="19"/>
      <c r="L373" s="23"/>
      <c r="M373" s="23"/>
      <c r="O373" s="18"/>
    </row>
    <row r="374" spans="3:15" ht="18" customHeight="1" x14ac:dyDescent="0.3">
      <c r="C374" s="19"/>
      <c r="D374" s="19"/>
      <c r="E374" s="19"/>
      <c r="F374" s="20"/>
      <c r="G374" s="20"/>
      <c r="H374" s="21"/>
      <c r="I374" s="22"/>
      <c r="J374" s="21"/>
      <c r="K374" s="19"/>
      <c r="L374" s="23"/>
      <c r="M374" s="23"/>
      <c r="O374" s="18"/>
    </row>
    <row r="375" spans="3:15" ht="18" customHeight="1" x14ac:dyDescent="0.3">
      <c r="C375" s="19"/>
      <c r="D375" s="19"/>
      <c r="E375" s="19"/>
      <c r="F375" s="20"/>
      <c r="G375" s="20"/>
      <c r="H375" s="21"/>
      <c r="I375" s="22"/>
      <c r="J375" s="21"/>
      <c r="K375" s="19"/>
      <c r="L375" s="23"/>
      <c r="M375" s="23"/>
      <c r="O375" s="18"/>
    </row>
    <row r="376" spans="3:15" ht="18" customHeight="1" x14ac:dyDescent="0.3">
      <c r="C376" s="19"/>
      <c r="D376" s="19"/>
      <c r="E376" s="19"/>
      <c r="F376" s="20"/>
      <c r="G376" s="20"/>
      <c r="H376" s="21"/>
      <c r="I376" s="22"/>
      <c r="J376" s="21"/>
      <c r="K376" s="19"/>
      <c r="L376" s="23"/>
      <c r="M376" s="23"/>
      <c r="O376" s="18"/>
    </row>
    <row r="377" spans="3:15" ht="18" customHeight="1" x14ac:dyDescent="0.3">
      <c r="C377" s="19"/>
      <c r="D377" s="19"/>
      <c r="E377" s="19"/>
      <c r="F377" s="20"/>
      <c r="G377" s="20"/>
      <c r="H377" s="21"/>
      <c r="I377" s="22"/>
      <c r="J377" s="21"/>
      <c r="K377" s="19"/>
      <c r="L377" s="23"/>
      <c r="M377" s="23"/>
      <c r="O377" s="18"/>
    </row>
    <row r="378" spans="3:15" ht="18" customHeight="1" x14ac:dyDescent="0.3">
      <c r="C378" s="19"/>
      <c r="D378" s="19"/>
      <c r="E378" s="19"/>
      <c r="F378" s="20"/>
      <c r="G378" s="20"/>
      <c r="H378" s="21"/>
      <c r="I378" s="22"/>
      <c r="J378" s="21"/>
      <c r="K378" s="19"/>
      <c r="L378" s="23"/>
      <c r="M378" s="23"/>
      <c r="O378" s="18"/>
    </row>
    <row r="379" spans="3:15" ht="18" customHeight="1" x14ac:dyDescent="0.3">
      <c r="C379" s="19"/>
      <c r="D379" s="19"/>
      <c r="E379" s="19"/>
      <c r="F379" s="20"/>
      <c r="G379" s="20"/>
      <c r="H379" s="21"/>
      <c r="I379" s="22"/>
      <c r="J379" s="21"/>
      <c r="K379" s="19"/>
      <c r="L379" s="23"/>
      <c r="M379" s="23"/>
      <c r="O379" s="18"/>
    </row>
    <row r="380" spans="3:15" ht="18" customHeight="1" x14ac:dyDescent="0.3">
      <c r="C380" s="19"/>
      <c r="D380" s="19"/>
      <c r="E380" s="19"/>
      <c r="F380" s="20"/>
      <c r="G380" s="20"/>
      <c r="H380" s="21"/>
      <c r="I380" s="22"/>
      <c r="J380" s="21"/>
      <c r="K380" s="19"/>
      <c r="L380" s="23"/>
      <c r="M380" s="23"/>
      <c r="O380" s="18"/>
    </row>
    <row r="381" spans="3:15" ht="18" customHeight="1" x14ac:dyDescent="0.3">
      <c r="C381" s="19"/>
      <c r="D381" s="19"/>
      <c r="E381" s="19"/>
      <c r="F381" s="20"/>
      <c r="G381" s="20"/>
      <c r="H381" s="21"/>
      <c r="I381" s="22"/>
      <c r="J381" s="21"/>
      <c r="K381" s="19"/>
      <c r="L381" s="23"/>
      <c r="M381" s="23"/>
      <c r="O381" s="18"/>
    </row>
    <row r="382" spans="3:15" ht="18" customHeight="1" x14ac:dyDescent="0.3">
      <c r="C382" s="19"/>
      <c r="D382" s="19"/>
      <c r="E382" s="19"/>
      <c r="F382" s="20"/>
      <c r="G382" s="20"/>
      <c r="H382" s="21"/>
      <c r="I382" s="22"/>
      <c r="J382" s="21"/>
      <c r="K382" s="19"/>
      <c r="L382" s="23"/>
      <c r="M382" s="23"/>
      <c r="O382" s="18"/>
    </row>
    <row r="383" spans="3:15" ht="18" customHeight="1" x14ac:dyDescent="0.3">
      <c r="C383" s="19"/>
      <c r="D383" s="19"/>
      <c r="E383" s="19"/>
      <c r="F383" s="20"/>
      <c r="G383" s="20"/>
      <c r="H383" s="21"/>
      <c r="I383" s="22"/>
      <c r="J383" s="21"/>
      <c r="K383" s="19"/>
      <c r="L383" s="23"/>
      <c r="M383" s="23"/>
      <c r="O383" s="18"/>
    </row>
    <row r="384" spans="3:15" ht="18" customHeight="1" x14ac:dyDescent="0.3">
      <c r="C384" s="19"/>
      <c r="D384" s="19"/>
      <c r="E384" s="19"/>
      <c r="F384" s="20"/>
      <c r="G384" s="20"/>
      <c r="H384" s="21"/>
      <c r="I384" s="22"/>
      <c r="J384" s="21"/>
      <c r="K384" s="19"/>
      <c r="L384" s="23"/>
      <c r="M384" s="23"/>
      <c r="O384" s="18"/>
    </row>
    <row r="385" spans="3:15" ht="18" customHeight="1" x14ac:dyDescent="0.3">
      <c r="C385" s="19"/>
      <c r="D385" s="19"/>
      <c r="E385" s="19"/>
      <c r="F385" s="20"/>
      <c r="G385" s="20"/>
      <c r="H385" s="21"/>
      <c r="I385" s="22"/>
      <c r="J385" s="21"/>
      <c r="K385" s="19"/>
      <c r="L385" s="23"/>
      <c r="M385" s="23"/>
      <c r="O385" s="18"/>
    </row>
    <row r="386" spans="3:15" ht="18" customHeight="1" x14ac:dyDescent="0.3">
      <c r="C386" s="19"/>
      <c r="D386" s="19"/>
      <c r="E386" s="19"/>
      <c r="F386" s="20"/>
      <c r="G386" s="20"/>
      <c r="H386" s="21"/>
      <c r="I386" s="22"/>
      <c r="J386" s="21"/>
      <c r="K386" s="19"/>
      <c r="L386" s="23"/>
      <c r="M386" s="23"/>
      <c r="O386" s="18"/>
    </row>
    <row r="387" spans="3:15" ht="18" customHeight="1" x14ac:dyDescent="0.3">
      <c r="C387" s="19"/>
      <c r="D387" s="19"/>
      <c r="E387" s="19"/>
      <c r="F387" s="20"/>
      <c r="G387" s="20"/>
      <c r="H387" s="21"/>
      <c r="I387" s="22"/>
      <c r="J387" s="21"/>
      <c r="K387" s="19"/>
      <c r="L387" s="23"/>
      <c r="M387" s="23"/>
      <c r="O387" s="18"/>
    </row>
    <row r="388" spans="3:15" ht="18" customHeight="1" x14ac:dyDescent="0.3">
      <c r="C388" s="19"/>
      <c r="D388" s="19"/>
      <c r="E388" s="19"/>
      <c r="F388" s="20"/>
      <c r="G388" s="20"/>
      <c r="H388" s="21"/>
      <c r="I388" s="22"/>
      <c r="J388" s="21"/>
      <c r="K388" s="19"/>
      <c r="L388" s="23"/>
      <c r="M388" s="23"/>
      <c r="O388" s="18"/>
    </row>
    <row r="389" spans="3:15" ht="18" customHeight="1" x14ac:dyDescent="0.3">
      <c r="C389" s="19"/>
      <c r="D389" s="19"/>
      <c r="E389" s="19"/>
      <c r="F389" s="20"/>
      <c r="G389" s="20"/>
      <c r="H389" s="21"/>
      <c r="I389" s="22"/>
      <c r="J389" s="21"/>
      <c r="K389" s="19"/>
      <c r="L389" s="23"/>
      <c r="M389" s="23"/>
      <c r="O389" s="18"/>
    </row>
    <row r="390" spans="3:15" ht="18" customHeight="1" x14ac:dyDescent="0.3">
      <c r="C390" s="19"/>
      <c r="D390" s="19"/>
      <c r="E390" s="19"/>
      <c r="F390" s="20"/>
      <c r="G390" s="20"/>
      <c r="H390" s="21"/>
      <c r="I390" s="22"/>
      <c r="J390" s="21"/>
      <c r="K390" s="19"/>
      <c r="L390" s="23"/>
      <c r="M390" s="23"/>
      <c r="O390" s="18"/>
    </row>
    <row r="391" spans="3:15" ht="18" customHeight="1" x14ac:dyDescent="0.3">
      <c r="C391" s="19"/>
      <c r="D391" s="19"/>
      <c r="E391" s="19"/>
      <c r="F391" s="20"/>
      <c r="G391" s="20"/>
      <c r="H391" s="21"/>
      <c r="I391" s="22"/>
      <c r="J391" s="21"/>
      <c r="K391" s="19"/>
      <c r="L391" s="23"/>
      <c r="M391" s="23"/>
      <c r="O391" s="18"/>
    </row>
    <row r="392" spans="3:15" ht="18" customHeight="1" x14ac:dyDescent="0.3">
      <c r="C392" s="19"/>
      <c r="D392" s="19"/>
      <c r="E392" s="19"/>
      <c r="F392" s="20"/>
      <c r="G392" s="20"/>
      <c r="H392" s="21"/>
      <c r="I392" s="22"/>
      <c r="J392" s="21"/>
      <c r="K392" s="19"/>
      <c r="L392" s="23"/>
      <c r="M392" s="23"/>
      <c r="O392" s="18"/>
    </row>
    <row r="393" spans="3:15" ht="18" customHeight="1" x14ac:dyDescent="0.3">
      <c r="C393" s="19"/>
      <c r="D393" s="19"/>
      <c r="E393" s="19"/>
      <c r="F393" s="20"/>
      <c r="G393" s="20"/>
      <c r="H393" s="21"/>
      <c r="I393" s="22"/>
      <c r="J393" s="21"/>
      <c r="K393" s="19"/>
      <c r="L393" s="23"/>
      <c r="M393" s="23"/>
      <c r="O393" s="18"/>
    </row>
    <row r="394" spans="3:15" ht="18" customHeight="1" x14ac:dyDescent="0.3">
      <c r="C394" s="19"/>
      <c r="D394" s="19"/>
      <c r="E394" s="19"/>
      <c r="F394" s="20"/>
      <c r="G394" s="20"/>
      <c r="H394" s="21"/>
      <c r="I394" s="22"/>
      <c r="J394" s="21"/>
      <c r="K394" s="19"/>
      <c r="L394" s="23"/>
      <c r="M394" s="23"/>
      <c r="O394" s="18"/>
    </row>
    <row r="395" spans="3:15" ht="18" customHeight="1" x14ac:dyDescent="0.3">
      <c r="C395" s="19"/>
      <c r="D395" s="19"/>
      <c r="E395" s="19"/>
      <c r="F395" s="20"/>
      <c r="G395" s="20"/>
      <c r="H395" s="21"/>
      <c r="I395" s="22"/>
      <c r="J395" s="21"/>
      <c r="K395" s="19"/>
      <c r="L395" s="23"/>
      <c r="M395" s="23"/>
      <c r="O395" s="18"/>
    </row>
    <row r="396" spans="3:15" ht="18" customHeight="1" x14ac:dyDescent="0.3">
      <c r="C396" s="19"/>
      <c r="D396" s="19"/>
      <c r="E396" s="19"/>
      <c r="F396" s="20"/>
      <c r="G396" s="20"/>
      <c r="H396" s="21"/>
      <c r="I396" s="22"/>
      <c r="J396" s="21"/>
      <c r="K396" s="19"/>
      <c r="L396" s="23"/>
      <c r="M396" s="23"/>
      <c r="O396" s="18"/>
    </row>
    <row r="397" spans="3:15" ht="18" customHeight="1" x14ac:dyDescent="0.3">
      <c r="C397" s="19"/>
      <c r="D397" s="19"/>
      <c r="E397" s="19"/>
      <c r="F397" s="20"/>
      <c r="G397" s="20"/>
      <c r="H397" s="21"/>
      <c r="I397" s="22"/>
      <c r="J397" s="21"/>
      <c r="K397" s="19"/>
      <c r="L397" s="23"/>
      <c r="M397" s="23"/>
      <c r="O397" s="18"/>
    </row>
    <row r="398" spans="3:15" ht="18" customHeight="1" x14ac:dyDescent="0.3">
      <c r="C398" s="19"/>
      <c r="D398" s="19"/>
      <c r="E398" s="19"/>
      <c r="F398" s="20"/>
      <c r="G398" s="20"/>
      <c r="H398" s="21"/>
      <c r="I398" s="22"/>
      <c r="J398" s="21"/>
      <c r="K398" s="19"/>
      <c r="L398" s="23"/>
      <c r="M398" s="23"/>
      <c r="O398" s="18"/>
    </row>
    <row r="399" spans="3:15" ht="18" customHeight="1" x14ac:dyDescent="0.3">
      <c r="C399" s="19"/>
      <c r="D399" s="19"/>
      <c r="E399" s="19"/>
      <c r="F399" s="20"/>
      <c r="G399" s="20"/>
      <c r="H399" s="21"/>
      <c r="I399" s="22"/>
      <c r="J399" s="21"/>
      <c r="K399" s="19"/>
      <c r="L399" s="23"/>
      <c r="M399" s="23"/>
      <c r="O399" s="18"/>
    </row>
    <row r="400" spans="3:15" ht="18" customHeight="1" x14ac:dyDescent="0.3">
      <c r="C400" s="19"/>
      <c r="D400" s="19"/>
      <c r="E400" s="19"/>
      <c r="F400" s="20"/>
      <c r="G400" s="20"/>
      <c r="H400" s="21"/>
      <c r="I400" s="22"/>
      <c r="J400" s="21"/>
      <c r="K400" s="19"/>
      <c r="L400" s="23"/>
      <c r="M400" s="23"/>
      <c r="O400" s="18"/>
    </row>
    <row r="401" spans="3:15" ht="18" customHeight="1" x14ac:dyDescent="0.3">
      <c r="C401" s="19"/>
      <c r="D401" s="19"/>
      <c r="E401" s="19"/>
      <c r="F401" s="20"/>
      <c r="G401" s="20"/>
      <c r="H401" s="21"/>
      <c r="I401" s="22"/>
      <c r="J401" s="21"/>
      <c r="K401" s="19"/>
      <c r="L401" s="23"/>
      <c r="M401" s="23"/>
      <c r="O401" s="18"/>
    </row>
    <row r="402" spans="3:15" ht="18" customHeight="1" x14ac:dyDescent="0.3">
      <c r="C402" s="19"/>
      <c r="D402" s="19"/>
      <c r="E402" s="19"/>
      <c r="F402" s="20"/>
      <c r="G402" s="20"/>
      <c r="H402" s="21"/>
      <c r="I402" s="22"/>
      <c r="J402" s="21"/>
      <c r="K402" s="19"/>
      <c r="L402" s="23"/>
      <c r="M402" s="23"/>
      <c r="O402" s="18"/>
    </row>
    <row r="403" spans="3:15" ht="18" customHeight="1" x14ac:dyDescent="0.3">
      <c r="C403" s="19"/>
      <c r="D403" s="19"/>
      <c r="E403" s="19"/>
      <c r="F403" s="20"/>
      <c r="G403" s="20"/>
      <c r="H403" s="21"/>
      <c r="I403" s="22"/>
      <c r="J403" s="21"/>
      <c r="K403" s="19"/>
      <c r="L403" s="23"/>
      <c r="M403" s="23"/>
      <c r="O403" s="18"/>
    </row>
    <row r="404" spans="3:15" ht="18" customHeight="1" x14ac:dyDescent="0.3">
      <c r="C404" s="19"/>
      <c r="D404" s="19"/>
      <c r="E404" s="19"/>
      <c r="F404" s="20"/>
      <c r="G404" s="20"/>
      <c r="H404" s="21"/>
      <c r="I404" s="22"/>
      <c r="J404" s="21"/>
      <c r="K404" s="19"/>
      <c r="L404" s="23"/>
      <c r="M404" s="23"/>
      <c r="O404" s="18"/>
    </row>
    <row r="405" spans="3:15" ht="18" customHeight="1" x14ac:dyDescent="0.3">
      <c r="C405" s="19"/>
      <c r="D405" s="19"/>
      <c r="E405" s="19"/>
      <c r="F405" s="20"/>
      <c r="G405" s="20"/>
      <c r="H405" s="21"/>
      <c r="I405" s="22"/>
      <c r="J405" s="21"/>
      <c r="K405" s="19"/>
      <c r="L405" s="23"/>
      <c r="M405" s="23"/>
      <c r="O405" s="18"/>
    </row>
    <row r="406" spans="3:15" ht="18" customHeight="1" x14ac:dyDescent="0.3">
      <c r="C406" s="19"/>
      <c r="D406" s="19"/>
      <c r="E406" s="19"/>
      <c r="F406" s="20"/>
      <c r="G406" s="20"/>
      <c r="H406" s="21"/>
      <c r="I406" s="22"/>
      <c r="J406" s="21"/>
      <c r="K406" s="19"/>
      <c r="L406" s="23"/>
      <c r="M406" s="23"/>
      <c r="O406" s="18"/>
    </row>
    <row r="407" spans="3:15" ht="18" customHeight="1" x14ac:dyDescent="0.3">
      <c r="C407" s="19"/>
      <c r="D407" s="19"/>
      <c r="E407" s="19"/>
      <c r="F407" s="20"/>
      <c r="G407" s="20"/>
      <c r="H407" s="21"/>
      <c r="I407" s="22"/>
      <c r="J407" s="21"/>
      <c r="K407" s="19"/>
      <c r="L407" s="23"/>
      <c r="M407" s="23"/>
      <c r="O407" s="18"/>
    </row>
    <row r="408" spans="3:15" ht="18" customHeight="1" x14ac:dyDescent="0.3">
      <c r="C408" s="19"/>
      <c r="D408" s="19"/>
      <c r="E408" s="19"/>
      <c r="F408" s="20"/>
      <c r="G408" s="20"/>
      <c r="H408" s="21"/>
      <c r="I408" s="22"/>
      <c r="J408" s="21"/>
      <c r="K408" s="19"/>
      <c r="L408" s="23"/>
      <c r="M408" s="23"/>
      <c r="O408" s="18"/>
    </row>
    <row r="409" spans="3:15" ht="18" customHeight="1" x14ac:dyDescent="0.3">
      <c r="C409" s="19"/>
      <c r="D409" s="19"/>
      <c r="E409" s="19"/>
      <c r="F409" s="20"/>
      <c r="G409" s="20"/>
      <c r="H409" s="21"/>
      <c r="I409" s="22"/>
      <c r="J409" s="21"/>
      <c r="K409" s="19"/>
      <c r="L409" s="23"/>
      <c r="M409" s="23"/>
      <c r="O409" s="18"/>
    </row>
    <row r="410" spans="3:15" ht="18" customHeight="1" x14ac:dyDescent="0.3">
      <c r="C410" s="19"/>
      <c r="D410" s="19"/>
      <c r="E410" s="19"/>
      <c r="F410" s="20"/>
      <c r="G410" s="20"/>
      <c r="H410" s="21"/>
      <c r="I410" s="22"/>
      <c r="J410" s="21"/>
      <c r="K410" s="19"/>
      <c r="L410" s="23"/>
      <c r="M410" s="23"/>
      <c r="O410" s="18"/>
    </row>
    <row r="411" spans="3:15" ht="18" customHeight="1" x14ac:dyDescent="0.3">
      <c r="C411" s="19"/>
      <c r="D411" s="19"/>
      <c r="E411" s="19"/>
      <c r="F411" s="20"/>
      <c r="G411" s="20"/>
      <c r="H411" s="21"/>
      <c r="I411" s="22"/>
      <c r="J411" s="21"/>
      <c r="K411" s="19"/>
      <c r="L411" s="23"/>
      <c r="M411" s="23"/>
      <c r="O411" s="18"/>
    </row>
    <row r="412" spans="3:15" ht="18" customHeight="1" x14ac:dyDescent="0.3">
      <c r="C412" s="19"/>
      <c r="D412" s="19"/>
      <c r="E412" s="19"/>
      <c r="F412" s="20"/>
      <c r="G412" s="20"/>
      <c r="H412" s="21"/>
      <c r="I412" s="22"/>
      <c r="J412" s="21"/>
      <c r="K412" s="19"/>
      <c r="L412" s="23"/>
      <c r="M412" s="23"/>
      <c r="O412" s="18"/>
    </row>
    <row r="413" spans="3:15" ht="18" customHeight="1" x14ac:dyDescent="0.3">
      <c r="C413" s="19"/>
      <c r="D413" s="19"/>
      <c r="E413" s="19"/>
      <c r="F413" s="20"/>
      <c r="G413" s="20"/>
      <c r="H413" s="21"/>
      <c r="I413" s="22"/>
      <c r="J413" s="21"/>
      <c r="K413" s="19"/>
      <c r="L413" s="23"/>
      <c r="M413" s="23"/>
      <c r="O413" s="18"/>
    </row>
    <row r="414" spans="3:15" ht="18" customHeight="1" x14ac:dyDescent="0.3">
      <c r="C414" s="19"/>
      <c r="D414" s="19"/>
      <c r="E414" s="19"/>
      <c r="F414" s="20"/>
      <c r="G414" s="20"/>
      <c r="H414" s="21"/>
      <c r="I414" s="22"/>
      <c r="J414" s="21"/>
      <c r="K414" s="19"/>
      <c r="L414" s="23"/>
      <c r="M414" s="23"/>
      <c r="O414" s="18"/>
    </row>
    <row r="415" spans="3:15" ht="18" customHeight="1" x14ac:dyDescent="0.3">
      <c r="C415" s="19"/>
      <c r="D415" s="19"/>
      <c r="E415" s="19"/>
      <c r="F415" s="20"/>
      <c r="G415" s="20"/>
      <c r="H415" s="21"/>
      <c r="I415" s="22"/>
      <c r="J415" s="21"/>
      <c r="K415" s="19"/>
      <c r="L415" s="23"/>
      <c r="M415" s="23"/>
      <c r="O415" s="18"/>
    </row>
    <row r="416" spans="3:15" ht="18" customHeight="1" x14ac:dyDescent="0.3">
      <c r="C416" s="19"/>
      <c r="D416" s="19"/>
      <c r="E416" s="19"/>
      <c r="F416" s="20"/>
      <c r="G416" s="20"/>
      <c r="H416" s="21"/>
      <c r="I416" s="22"/>
      <c r="J416" s="21"/>
      <c r="K416" s="19"/>
      <c r="L416" s="23"/>
      <c r="M416" s="23"/>
      <c r="O416" s="18"/>
    </row>
    <row r="417" spans="3:15" ht="18" customHeight="1" x14ac:dyDescent="0.3">
      <c r="C417" s="19"/>
      <c r="D417" s="19"/>
      <c r="E417" s="19"/>
      <c r="F417" s="20"/>
      <c r="G417" s="20"/>
      <c r="H417" s="21"/>
      <c r="I417" s="22"/>
      <c r="J417" s="21"/>
      <c r="K417" s="19"/>
      <c r="L417" s="23"/>
      <c r="M417" s="23"/>
      <c r="O417" s="18"/>
    </row>
    <row r="418" spans="3:15" ht="18" customHeight="1" x14ac:dyDescent="0.3">
      <c r="C418" s="19"/>
      <c r="D418" s="19"/>
      <c r="E418" s="19"/>
      <c r="F418" s="20"/>
      <c r="G418" s="20"/>
      <c r="H418" s="21"/>
      <c r="I418" s="22"/>
      <c r="J418" s="21"/>
      <c r="K418" s="19"/>
      <c r="L418" s="23"/>
      <c r="M418" s="23"/>
      <c r="O418" s="18"/>
    </row>
    <row r="419" spans="3:15" ht="18" customHeight="1" x14ac:dyDescent="0.3">
      <c r="C419" s="19"/>
      <c r="D419" s="19"/>
      <c r="E419" s="19"/>
      <c r="F419" s="20"/>
      <c r="G419" s="20"/>
      <c r="H419" s="21"/>
      <c r="I419" s="22"/>
      <c r="J419" s="21"/>
      <c r="K419" s="19"/>
      <c r="L419" s="23"/>
      <c r="M419" s="23"/>
      <c r="O419" s="18"/>
    </row>
    <row r="420" spans="3:15" ht="18" customHeight="1" x14ac:dyDescent="0.3">
      <c r="C420" s="19"/>
      <c r="D420" s="19"/>
      <c r="E420" s="19"/>
      <c r="F420" s="20"/>
      <c r="G420" s="20"/>
      <c r="H420" s="21"/>
      <c r="I420" s="22"/>
      <c r="J420" s="21"/>
      <c r="K420" s="19"/>
      <c r="L420" s="23"/>
      <c r="M420" s="23"/>
      <c r="O420" s="18"/>
    </row>
    <row r="421" spans="3:15" ht="18" customHeight="1" x14ac:dyDescent="0.3">
      <c r="C421" s="19"/>
      <c r="D421" s="19"/>
      <c r="E421" s="19"/>
      <c r="F421" s="20"/>
      <c r="G421" s="20"/>
      <c r="H421" s="21"/>
      <c r="I421" s="22"/>
      <c r="J421" s="21"/>
      <c r="K421" s="19"/>
      <c r="L421" s="23"/>
      <c r="M421" s="23"/>
      <c r="O421" s="18"/>
    </row>
    <row r="422" spans="3:15" ht="18" customHeight="1" x14ac:dyDescent="0.3">
      <c r="C422" s="19"/>
      <c r="D422" s="19"/>
      <c r="E422" s="19"/>
      <c r="F422" s="20"/>
      <c r="G422" s="20"/>
      <c r="H422" s="21"/>
      <c r="I422" s="22"/>
      <c r="J422" s="21"/>
      <c r="K422" s="19"/>
      <c r="L422" s="23"/>
      <c r="M422" s="23"/>
      <c r="O422" s="18"/>
    </row>
    <row r="423" spans="3:15" ht="18" customHeight="1" x14ac:dyDescent="0.3">
      <c r="C423" s="19"/>
      <c r="D423" s="19"/>
      <c r="E423" s="19"/>
      <c r="F423" s="20"/>
      <c r="G423" s="20"/>
      <c r="H423" s="21"/>
      <c r="I423" s="22"/>
      <c r="J423" s="21"/>
      <c r="K423" s="19"/>
      <c r="L423" s="23"/>
      <c r="M423" s="23"/>
      <c r="O423" s="18"/>
    </row>
    <row r="424" spans="3:15" ht="18" customHeight="1" x14ac:dyDescent="0.3">
      <c r="C424" s="19"/>
      <c r="D424" s="19"/>
      <c r="E424" s="19"/>
      <c r="F424" s="20"/>
      <c r="G424" s="20"/>
      <c r="H424" s="21"/>
      <c r="I424" s="22"/>
      <c r="J424" s="21"/>
      <c r="K424" s="19"/>
      <c r="L424" s="23"/>
      <c r="M424" s="23"/>
      <c r="O424" s="18"/>
    </row>
    <row r="425" spans="3:15" ht="18" customHeight="1" x14ac:dyDescent="0.3">
      <c r="C425" s="19"/>
      <c r="D425" s="19"/>
      <c r="E425" s="19"/>
      <c r="F425" s="20"/>
      <c r="G425" s="20"/>
      <c r="H425" s="21"/>
      <c r="I425" s="22"/>
      <c r="J425" s="21"/>
      <c r="K425" s="19"/>
      <c r="L425" s="23"/>
      <c r="M425" s="23"/>
      <c r="O425" s="18"/>
    </row>
    <row r="426" spans="3:15" ht="18" customHeight="1" x14ac:dyDescent="0.3">
      <c r="C426" s="19"/>
      <c r="D426" s="19"/>
      <c r="E426" s="19"/>
      <c r="F426" s="20"/>
      <c r="G426" s="20"/>
      <c r="H426" s="21"/>
      <c r="I426" s="22"/>
      <c r="J426" s="21"/>
      <c r="K426" s="19"/>
      <c r="L426" s="23"/>
      <c r="M426" s="23"/>
      <c r="O426" s="18"/>
    </row>
    <row r="427" spans="3:15" ht="18" customHeight="1" x14ac:dyDescent="0.3">
      <c r="C427" s="19"/>
      <c r="D427" s="19"/>
      <c r="E427" s="19"/>
      <c r="F427" s="20"/>
      <c r="G427" s="20"/>
      <c r="H427" s="21"/>
      <c r="I427" s="22"/>
      <c r="J427" s="21"/>
      <c r="K427" s="19"/>
      <c r="L427" s="23"/>
      <c r="M427" s="23"/>
      <c r="O427" s="18"/>
    </row>
    <row r="428" spans="3:15" ht="18" customHeight="1" x14ac:dyDescent="0.3">
      <c r="C428" s="19"/>
      <c r="D428" s="19"/>
      <c r="E428" s="19"/>
      <c r="F428" s="20"/>
      <c r="G428" s="20"/>
      <c r="H428" s="21"/>
      <c r="I428" s="22"/>
      <c r="J428" s="21"/>
      <c r="K428" s="19"/>
      <c r="L428" s="23"/>
      <c r="M428" s="23"/>
      <c r="O428" s="18"/>
    </row>
    <row r="429" spans="3:15" ht="18" customHeight="1" x14ac:dyDescent="0.3">
      <c r="C429" s="19"/>
      <c r="D429" s="19"/>
      <c r="E429" s="19"/>
      <c r="F429" s="20"/>
      <c r="G429" s="20"/>
      <c r="H429" s="21"/>
      <c r="I429" s="22"/>
      <c r="J429" s="21"/>
      <c r="K429" s="19"/>
      <c r="L429" s="23"/>
      <c r="M429" s="23"/>
      <c r="O429" s="18"/>
    </row>
    <row r="430" spans="3:15" ht="18" customHeight="1" x14ac:dyDescent="0.3">
      <c r="C430" s="19"/>
      <c r="D430" s="19"/>
      <c r="E430" s="19"/>
      <c r="F430" s="20"/>
      <c r="G430" s="20"/>
      <c r="H430" s="21"/>
      <c r="I430" s="22"/>
      <c r="J430" s="21"/>
      <c r="K430" s="19"/>
      <c r="L430" s="23"/>
      <c r="M430" s="23"/>
      <c r="O430" s="18"/>
    </row>
    <row r="431" spans="3:15" ht="18" customHeight="1" x14ac:dyDescent="0.3">
      <c r="C431" s="19"/>
      <c r="D431" s="19"/>
      <c r="E431" s="19"/>
      <c r="F431" s="20"/>
      <c r="G431" s="20"/>
      <c r="H431" s="21"/>
      <c r="I431" s="22"/>
      <c r="J431" s="21"/>
      <c r="K431" s="19"/>
      <c r="L431" s="23"/>
      <c r="M431" s="23"/>
      <c r="O431" s="18"/>
    </row>
    <row r="432" spans="3:15" ht="18" customHeight="1" x14ac:dyDescent="0.3">
      <c r="C432" s="19"/>
      <c r="D432" s="19"/>
      <c r="E432" s="19"/>
      <c r="F432" s="20"/>
      <c r="G432" s="20"/>
      <c r="H432" s="21"/>
      <c r="I432" s="22"/>
      <c r="J432" s="21"/>
      <c r="K432" s="19"/>
      <c r="L432" s="23"/>
      <c r="M432" s="23"/>
      <c r="O432" s="18"/>
    </row>
    <row r="433" spans="3:15" ht="18" customHeight="1" x14ac:dyDescent="0.3">
      <c r="C433" s="19"/>
      <c r="D433" s="19"/>
      <c r="E433" s="19"/>
      <c r="F433" s="20"/>
      <c r="G433" s="20"/>
      <c r="H433" s="21"/>
      <c r="I433" s="22"/>
      <c r="J433" s="21"/>
      <c r="K433" s="19"/>
      <c r="L433" s="23"/>
      <c r="M433" s="23"/>
      <c r="O433" s="18"/>
    </row>
    <row r="434" spans="3:15" ht="18" customHeight="1" x14ac:dyDescent="0.3">
      <c r="C434" s="19"/>
      <c r="D434" s="19"/>
      <c r="E434" s="19"/>
      <c r="F434" s="20"/>
      <c r="G434" s="20"/>
      <c r="H434" s="21"/>
      <c r="I434" s="22"/>
      <c r="J434" s="21"/>
      <c r="K434" s="19"/>
      <c r="L434" s="23"/>
      <c r="M434" s="23"/>
      <c r="O434" s="18"/>
    </row>
    <row r="435" spans="3:15" ht="18" customHeight="1" x14ac:dyDescent="0.3">
      <c r="C435" s="19"/>
      <c r="D435" s="19"/>
      <c r="E435" s="19"/>
      <c r="F435" s="20"/>
      <c r="G435" s="20"/>
      <c r="H435" s="21"/>
      <c r="I435" s="22"/>
      <c r="J435" s="21"/>
      <c r="K435" s="19"/>
      <c r="L435" s="23"/>
      <c r="M435" s="23"/>
      <c r="O435" s="18"/>
    </row>
    <row r="436" spans="3:15" ht="18" customHeight="1" x14ac:dyDescent="0.3">
      <c r="C436" s="19"/>
      <c r="D436" s="19"/>
      <c r="E436" s="19"/>
      <c r="F436" s="20"/>
      <c r="G436" s="20"/>
      <c r="H436" s="21"/>
      <c r="I436" s="22"/>
      <c r="J436" s="21"/>
      <c r="K436" s="19"/>
      <c r="L436" s="23"/>
      <c r="M436" s="23"/>
      <c r="O436" s="18"/>
    </row>
    <row r="437" spans="3:15" ht="18" customHeight="1" x14ac:dyDescent="0.3">
      <c r="C437" s="19"/>
      <c r="D437" s="19"/>
      <c r="E437" s="19"/>
      <c r="F437" s="20"/>
      <c r="G437" s="20"/>
      <c r="H437" s="21"/>
      <c r="I437" s="22"/>
      <c r="J437" s="21"/>
      <c r="K437" s="19"/>
      <c r="L437" s="23"/>
      <c r="M437" s="23"/>
      <c r="O437" s="18"/>
    </row>
    <row r="438" spans="3:15" ht="18" customHeight="1" x14ac:dyDescent="0.3">
      <c r="C438" s="19"/>
      <c r="D438" s="19"/>
      <c r="E438" s="19"/>
      <c r="F438" s="20"/>
      <c r="G438" s="20"/>
      <c r="H438" s="21"/>
      <c r="I438" s="22"/>
      <c r="J438" s="21"/>
      <c r="K438" s="19"/>
      <c r="L438" s="23"/>
      <c r="M438" s="23"/>
      <c r="O438" s="18"/>
    </row>
    <row r="439" spans="3:15" ht="18" customHeight="1" x14ac:dyDescent="0.3">
      <c r="C439" s="19"/>
      <c r="D439" s="19"/>
      <c r="E439" s="19"/>
      <c r="F439" s="20"/>
      <c r="G439" s="20"/>
      <c r="H439" s="21"/>
      <c r="I439" s="22"/>
      <c r="J439" s="21"/>
      <c r="K439" s="19"/>
      <c r="L439" s="23"/>
      <c r="M439" s="23"/>
      <c r="O439" s="18"/>
    </row>
    <row r="440" spans="3:15" ht="18" customHeight="1" x14ac:dyDescent="0.3">
      <c r="C440" s="19"/>
      <c r="D440" s="19"/>
      <c r="E440" s="19"/>
      <c r="F440" s="20"/>
      <c r="G440" s="20"/>
      <c r="H440" s="21"/>
      <c r="I440" s="22"/>
      <c r="J440" s="21"/>
      <c r="K440" s="19"/>
      <c r="L440" s="23"/>
      <c r="M440" s="23"/>
      <c r="O440" s="18"/>
    </row>
    <row r="441" spans="3:15" ht="18" customHeight="1" x14ac:dyDescent="0.3">
      <c r="C441" s="19"/>
      <c r="D441" s="19"/>
      <c r="E441" s="19"/>
      <c r="F441" s="20"/>
      <c r="G441" s="20"/>
      <c r="H441" s="21"/>
      <c r="I441" s="22"/>
      <c r="J441" s="21"/>
      <c r="K441" s="19"/>
      <c r="L441" s="23"/>
      <c r="M441" s="23"/>
      <c r="O441" s="18"/>
    </row>
    <row r="442" spans="3:15" ht="18" customHeight="1" x14ac:dyDescent="0.3">
      <c r="C442" s="19"/>
      <c r="D442" s="19"/>
      <c r="E442" s="19"/>
      <c r="F442" s="20"/>
      <c r="G442" s="20"/>
      <c r="H442" s="21"/>
      <c r="I442" s="22"/>
      <c r="J442" s="21"/>
      <c r="K442" s="19"/>
      <c r="L442" s="23"/>
      <c r="M442" s="23"/>
      <c r="O442" s="18"/>
    </row>
    <row r="443" spans="3:15" ht="18" customHeight="1" x14ac:dyDescent="0.3">
      <c r="C443" s="19"/>
      <c r="D443" s="19"/>
      <c r="E443" s="19"/>
      <c r="F443" s="20"/>
      <c r="G443" s="20"/>
      <c r="H443" s="21"/>
      <c r="I443" s="22"/>
      <c r="J443" s="21"/>
      <c r="K443" s="19"/>
      <c r="L443" s="23"/>
      <c r="M443" s="23"/>
      <c r="O443" s="18"/>
    </row>
    <row r="444" spans="3:15" ht="18" customHeight="1" x14ac:dyDescent="0.3">
      <c r="C444" s="19"/>
      <c r="D444" s="19"/>
      <c r="E444" s="19"/>
      <c r="F444" s="20"/>
      <c r="G444" s="20"/>
      <c r="H444" s="21"/>
      <c r="I444" s="22"/>
      <c r="J444" s="21"/>
      <c r="K444" s="19"/>
      <c r="L444" s="23"/>
      <c r="M444" s="23"/>
      <c r="O444" s="18"/>
    </row>
    <row r="445" spans="3:15" ht="18" customHeight="1" x14ac:dyDescent="0.3">
      <c r="C445" s="19"/>
      <c r="D445" s="19"/>
      <c r="E445" s="19"/>
      <c r="F445" s="20"/>
      <c r="G445" s="20"/>
      <c r="H445" s="21"/>
      <c r="I445" s="22"/>
      <c r="J445" s="21"/>
      <c r="K445" s="19"/>
      <c r="L445" s="23"/>
      <c r="M445" s="23"/>
      <c r="O445" s="18"/>
    </row>
    <row r="446" spans="3:15" ht="18" customHeight="1" x14ac:dyDescent="0.3">
      <c r="C446" s="19"/>
      <c r="D446" s="19"/>
      <c r="E446" s="19"/>
      <c r="F446" s="20"/>
      <c r="G446" s="20"/>
      <c r="H446" s="21"/>
      <c r="I446" s="22"/>
      <c r="J446" s="21"/>
      <c r="K446" s="19"/>
      <c r="L446" s="23"/>
      <c r="M446" s="23"/>
      <c r="O446" s="18"/>
    </row>
    <row r="447" spans="3:15" ht="18" customHeight="1" x14ac:dyDescent="0.3">
      <c r="C447" s="19"/>
      <c r="D447" s="19"/>
      <c r="E447" s="19"/>
      <c r="F447" s="20"/>
      <c r="G447" s="20"/>
      <c r="H447" s="21"/>
      <c r="I447" s="22"/>
      <c r="J447" s="21"/>
      <c r="K447" s="19"/>
      <c r="L447" s="23"/>
      <c r="M447" s="23"/>
      <c r="O447" s="18"/>
    </row>
    <row r="448" spans="3:15" ht="18" customHeight="1" x14ac:dyDescent="0.3">
      <c r="C448" s="19"/>
      <c r="D448" s="19"/>
      <c r="E448" s="19"/>
      <c r="F448" s="20"/>
      <c r="G448" s="20"/>
      <c r="H448" s="21"/>
      <c r="I448" s="22"/>
      <c r="J448" s="21"/>
      <c r="K448" s="19"/>
      <c r="L448" s="23"/>
      <c r="M448" s="23"/>
      <c r="O448" s="18"/>
    </row>
    <row r="449" spans="3:15" ht="18" customHeight="1" x14ac:dyDescent="0.3">
      <c r="C449" s="19"/>
      <c r="D449" s="19"/>
      <c r="E449" s="19"/>
      <c r="F449" s="20"/>
      <c r="G449" s="20"/>
      <c r="H449" s="21"/>
      <c r="I449" s="22"/>
      <c r="J449" s="21"/>
      <c r="K449" s="19"/>
      <c r="L449" s="23"/>
      <c r="M449" s="23"/>
      <c r="O449" s="18"/>
    </row>
    <row r="450" spans="3:15" ht="18" customHeight="1" x14ac:dyDescent="0.3">
      <c r="C450" s="19"/>
      <c r="D450" s="19"/>
      <c r="E450" s="19"/>
      <c r="F450" s="20"/>
      <c r="G450" s="20"/>
      <c r="H450" s="21"/>
      <c r="I450" s="22"/>
      <c r="J450" s="21"/>
      <c r="K450" s="19"/>
      <c r="L450" s="23"/>
      <c r="M450" s="23"/>
      <c r="O450" s="18"/>
    </row>
    <row r="451" spans="3:15" ht="18" customHeight="1" x14ac:dyDescent="0.3">
      <c r="C451" s="19"/>
      <c r="D451" s="19"/>
      <c r="E451" s="19"/>
      <c r="F451" s="20"/>
      <c r="G451" s="20"/>
      <c r="H451" s="21"/>
      <c r="I451" s="22"/>
      <c r="J451" s="21"/>
      <c r="K451" s="19"/>
      <c r="L451" s="23"/>
      <c r="M451" s="23"/>
      <c r="O451" s="18"/>
    </row>
    <row r="452" spans="3:15" ht="18" customHeight="1" x14ac:dyDescent="0.3">
      <c r="C452" s="19"/>
      <c r="D452" s="19"/>
      <c r="E452" s="19"/>
      <c r="F452" s="20"/>
      <c r="G452" s="20"/>
      <c r="H452" s="21"/>
      <c r="I452" s="22"/>
      <c r="J452" s="21"/>
      <c r="K452" s="19"/>
      <c r="L452" s="23"/>
      <c r="M452" s="23"/>
      <c r="O452" s="18"/>
    </row>
    <row r="453" spans="3:15" ht="18" customHeight="1" x14ac:dyDescent="0.3">
      <c r="C453" s="19"/>
      <c r="D453" s="19"/>
      <c r="E453" s="19"/>
      <c r="F453" s="20"/>
      <c r="G453" s="20"/>
      <c r="H453" s="21"/>
      <c r="I453" s="22"/>
      <c r="J453" s="21"/>
      <c r="K453" s="19"/>
      <c r="L453" s="23"/>
      <c r="M453" s="23"/>
      <c r="O453" s="18"/>
    </row>
    <row r="454" spans="3:15" ht="18" customHeight="1" x14ac:dyDescent="0.3">
      <c r="C454" s="19"/>
      <c r="D454" s="19"/>
      <c r="E454" s="19"/>
      <c r="F454" s="20"/>
      <c r="G454" s="20"/>
      <c r="H454" s="21"/>
      <c r="I454" s="22"/>
      <c r="J454" s="21"/>
      <c r="K454" s="19"/>
      <c r="L454" s="23"/>
      <c r="M454" s="23"/>
      <c r="O454" s="18"/>
    </row>
    <row r="455" spans="3:15" ht="18" customHeight="1" x14ac:dyDescent="0.3">
      <c r="C455" s="19"/>
      <c r="D455" s="19"/>
      <c r="E455" s="19"/>
      <c r="F455" s="20"/>
      <c r="G455" s="20"/>
      <c r="H455" s="21"/>
      <c r="I455" s="22"/>
      <c r="J455" s="21"/>
      <c r="K455" s="19"/>
      <c r="L455" s="23"/>
      <c r="M455" s="23"/>
      <c r="O455" s="18"/>
    </row>
    <row r="456" spans="3:15" ht="18" customHeight="1" x14ac:dyDescent="0.3">
      <c r="C456" s="19"/>
      <c r="D456" s="19"/>
      <c r="E456" s="19"/>
      <c r="F456" s="20"/>
      <c r="G456" s="20"/>
      <c r="H456" s="21"/>
      <c r="I456" s="22"/>
      <c r="J456" s="21"/>
      <c r="K456" s="19"/>
      <c r="L456" s="23"/>
      <c r="M456" s="23"/>
      <c r="O456" s="18"/>
    </row>
    <row r="457" spans="3:15" ht="18" customHeight="1" x14ac:dyDescent="0.3">
      <c r="C457" s="19"/>
      <c r="D457" s="19"/>
      <c r="E457" s="19"/>
      <c r="F457" s="20"/>
      <c r="G457" s="20"/>
      <c r="H457" s="21"/>
      <c r="I457" s="22"/>
      <c r="J457" s="21"/>
      <c r="K457" s="19"/>
      <c r="L457" s="23"/>
      <c r="M457" s="23"/>
      <c r="O457" s="18"/>
    </row>
    <row r="458" spans="3:15" ht="18" customHeight="1" x14ac:dyDescent="0.3">
      <c r="C458" s="19"/>
      <c r="D458" s="19"/>
      <c r="E458" s="19"/>
      <c r="F458" s="20"/>
      <c r="G458" s="20"/>
      <c r="H458" s="21"/>
      <c r="I458" s="22"/>
      <c r="J458" s="21"/>
      <c r="K458" s="19"/>
      <c r="L458" s="23"/>
      <c r="M458" s="23"/>
      <c r="O458" s="18"/>
    </row>
    <row r="459" spans="3:15" ht="18" customHeight="1" x14ac:dyDescent="0.3">
      <c r="C459" s="19"/>
      <c r="D459" s="19"/>
      <c r="E459" s="19"/>
      <c r="F459" s="20"/>
      <c r="G459" s="20"/>
      <c r="H459" s="21"/>
      <c r="I459" s="22"/>
      <c r="J459" s="21"/>
      <c r="K459" s="19"/>
      <c r="L459" s="23"/>
      <c r="M459" s="23"/>
      <c r="O459" s="18"/>
    </row>
    <row r="460" spans="3:15" ht="18" customHeight="1" x14ac:dyDescent="0.3">
      <c r="C460" s="19"/>
      <c r="D460" s="19"/>
      <c r="E460" s="19"/>
      <c r="F460" s="20"/>
      <c r="G460" s="20"/>
      <c r="H460" s="21"/>
      <c r="I460" s="22"/>
      <c r="J460" s="21"/>
      <c r="K460" s="19"/>
      <c r="L460" s="23"/>
      <c r="M460" s="23"/>
      <c r="O460" s="18"/>
    </row>
    <row r="461" spans="3:15" ht="18" customHeight="1" x14ac:dyDescent="0.3">
      <c r="C461" s="19"/>
      <c r="D461" s="19"/>
      <c r="E461" s="19"/>
      <c r="F461" s="20"/>
      <c r="G461" s="20"/>
      <c r="H461" s="21"/>
      <c r="I461" s="22"/>
      <c r="J461" s="21"/>
      <c r="K461" s="19"/>
      <c r="L461" s="23"/>
      <c r="M461" s="23"/>
      <c r="O461" s="18"/>
    </row>
    <row r="462" spans="3:15" ht="18" customHeight="1" x14ac:dyDescent="0.3">
      <c r="C462" s="19"/>
      <c r="D462" s="19"/>
      <c r="E462" s="19"/>
      <c r="F462" s="20"/>
      <c r="G462" s="20"/>
      <c r="H462" s="21"/>
      <c r="I462" s="22"/>
      <c r="J462" s="21"/>
      <c r="K462" s="19"/>
      <c r="L462" s="23"/>
      <c r="M462" s="23"/>
      <c r="O462" s="18"/>
    </row>
    <row r="463" spans="3:15" ht="18" customHeight="1" x14ac:dyDescent="0.3">
      <c r="C463" s="19"/>
      <c r="D463" s="19"/>
      <c r="E463" s="19"/>
      <c r="F463" s="20"/>
      <c r="G463" s="20"/>
      <c r="H463" s="21"/>
      <c r="I463" s="22"/>
      <c r="J463" s="21"/>
      <c r="K463" s="19"/>
      <c r="L463" s="23"/>
      <c r="M463" s="23"/>
      <c r="O463" s="18"/>
    </row>
    <row r="464" spans="3:15" ht="18" customHeight="1" x14ac:dyDescent="0.3">
      <c r="C464" s="19"/>
      <c r="D464" s="19"/>
      <c r="E464" s="19"/>
      <c r="F464" s="20"/>
      <c r="G464" s="20"/>
      <c r="H464" s="21"/>
      <c r="I464" s="22"/>
      <c r="J464" s="21"/>
      <c r="K464" s="19"/>
      <c r="L464" s="23"/>
      <c r="M464" s="23"/>
      <c r="O464" s="18"/>
    </row>
    <row r="465" spans="3:15" ht="18" customHeight="1" x14ac:dyDescent="0.3">
      <c r="C465" s="19"/>
      <c r="D465" s="19"/>
      <c r="E465" s="19"/>
      <c r="F465" s="20"/>
      <c r="G465" s="20"/>
      <c r="H465" s="21"/>
      <c r="I465" s="22"/>
      <c r="J465" s="21"/>
      <c r="K465" s="19"/>
      <c r="L465" s="23"/>
      <c r="M465" s="23"/>
      <c r="O465" s="18"/>
    </row>
    <row r="466" spans="3:15" ht="18" customHeight="1" x14ac:dyDescent="0.3">
      <c r="C466" s="19"/>
      <c r="D466" s="19"/>
      <c r="E466" s="19"/>
      <c r="F466" s="20"/>
      <c r="G466" s="20"/>
      <c r="H466" s="21"/>
      <c r="I466" s="22"/>
      <c r="J466" s="21"/>
      <c r="K466" s="19"/>
      <c r="L466" s="23"/>
      <c r="M466" s="23"/>
      <c r="O466" s="18"/>
    </row>
    <row r="467" spans="3:15" ht="18" customHeight="1" x14ac:dyDescent="0.3">
      <c r="C467" s="19"/>
      <c r="D467" s="19"/>
      <c r="E467" s="19"/>
      <c r="F467" s="20"/>
      <c r="G467" s="20"/>
      <c r="H467" s="21"/>
      <c r="I467" s="22"/>
      <c r="J467" s="21"/>
      <c r="K467" s="19"/>
      <c r="L467" s="23"/>
      <c r="M467" s="23"/>
      <c r="O467" s="18"/>
    </row>
    <row r="468" spans="3:15" ht="18" customHeight="1" x14ac:dyDescent="0.3">
      <c r="C468" s="19"/>
      <c r="D468" s="19"/>
      <c r="E468" s="19"/>
      <c r="F468" s="20"/>
      <c r="G468" s="20"/>
      <c r="H468" s="21"/>
      <c r="I468" s="22"/>
      <c r="J468" s="21"/>
      <c r="K468" s="19"/>
      <c r="L468" s="23"/>
      <c r="M468" s="23"/>
      <c r="O468" s="18"/>
    </row>
    <row r="469" spans="3:15" ht="18" customHeight="1" x14ac:dyDescent="0.3">
      <c r="C469" s="19"/>
      <c r="D469" s="19"/>
      <c r="E469" s="19"/>
      <c r="F469" s="20"/>
      <c r="G469" s="20"/>
      <c r="H469" s="21"/>
      <c r="I469" s="22"/>
      <c r="J469" s="21"/>
      <c r="K469" s="19"/>
      <c r="L469" s="23"/>
      <c r="M469" s="23"/>
      <c r="O469" s="18"/>
    </row>
    <row r="470" spans="3:15" ht="18" customHeight="1" x14ac:dyDescent="0.3">
      <c r="C470" s="19"/>
      <c r="D470" s="19"/>
      <c r="E470" s="19"/>
      <c r="F470" s="20"/>
      <c r="G470" s="20"/>
      <c r="H470" s="21"/>
      <c r="I470" s="22"/>
      <c r="J470" s="21"/>
      <c r="K470" s="19"/>
      <c r="L470" s="23"/>
      <c r="M470" s="23"/>
      <c r="O470" s="18"/>
    </row>
    <row r="471" spans="3:15" ht="18" customHeight="1" x14ac:dyDescent="0.3">
      <c r="C471" s="19"/>
      <c r="D471" s="19"/>
      <c r="E471" s="19"/>
      <c r="F471" s="20"/>
      <c r="G471" s="20"/>
      <c r="H471" s="21"/>
      <c r="I471" s="22"/>
      <c r="J471" s="21"/>
      <c r="K471" s="19"/>
      <c r="L471" s="23"/>
      <c r="M471" s="23"/>
      <c r="O471" s="18"/>
    </row>
    <row r="472" spans="3:15" ht="18" customHeight="1" x14ac:dyDescent="0.3">
      <c r="C472" s="19"/>
      <c r="D472" s="19"/>
      <c r="E472" s="19"/>
      <c r="F472" s="20"/>
      <c r="G472" s="20"/>
      <c r="H472" s="21"/>
      <c r="I472" s="22"/>
      <c r="J472" s="21"/>
      <c r="K472" s="19"/>
      <c r="L472" s="23"/>
      <c r="M472" s="23"/>
      <c r="O472" s="18"/>
    </row>
    <row r="473" spans="3:15" ht="18" customHeight="1" x14ac:dyDescent="0.3">
      <c r="C473" s="19"/>
      <c r="D473" s="19"/>
      <c r="E473" s="19"/>
      <c r="F473" s="20"/>
      <c r="G473" s="20"/>
      <c r="H473" s="21"/>
      <c r="I473" s="22"/>
      <c r="J473" s="21"/>
      <c r="K473" s="19"/>
      <c r="L473" s="23"/>
      <c r="M473" s="23"/>
      <c r="O473" s="18"/>
    </row>
    <row r="474" spans="3:15" ht="18" customHeight="1" x14ac:dyDescent="0.3">
      <c r="C474" s="19"/>
      <c r="D474" s="19"/>
      <c r="E474" s="19"/>
      <c r="F474" s="20"/>
      <c r="G474" s="20"/>
      <c r="H474" s="21"/>
      <c r="I474" s="22"/>
      <c r="J474" s="21"/>
      <c r="K474" s="19"/>
      <c r="L474" s="23"/>
      <c r="M474" s="23"/>
      <c r="O474" s="18"/>
    </row>
    <row r="475" spans="3:15" ht="18" customHeight="1" x14ac:dyDescent="0.3">
      <c r="C475" s="19"/>
      <c r="D475" s="19"/>
      <c r="E475" s="19"/>
      <c r="F475" s="20"/>
      <c r="G475" s="20"/>
      <c r="H475" s="21"/>
      <c r="I475" s="22"/>
      <c r="J475" s="21"/>
      <c r="K475" s="19"/>
      <c r="L475" s="23"/>
      <c r="M475" s="23"/>
      <c r="O475" s="18"/>
    </row>
    <row r="476" spans="3:15" ht="18" customHeight="1" x14ac:dyDescent="0.3">
      <c r="C476" s="19"/>
      <c r="D476" s="19"/>
      <c r="E476" s="19"/>
      <c r="F476" s="20"/>
      <c r="G476" s="20"/>
      <c r="H476" s="21"/>
      <c r="I476" s="22"/>
      <c r="J476" s="21"/>
      <c r="K476" s="19"/>
      <c r="L476" s="23"/>
      <c r="M476" s="23"/>
      <c r="O476" s="18"/>
    </row>
    <row r="477" spans="3:15" ht="18" customHeight="1" x14ac:dyDescent="0.3">
      <c r="C477" s="19"/>
      <c r="D477" s="19"/>
      <c r="E477" s="19"/>
      <c r="F477" s="20"/>
      <c r="G477" s="20"/>
      <c r="H477" s="21"/>
      <c r="I477" s="22"/>
      <c r="J477" s="21"/>
      <c r="K477" s="19"/>
      <c r="L477" s="23"/>
      <c r="M477" s="23"/>
      <c r="O477" s="18"/>
    </row>
    <row r="478" spans="3:15" ht="18" customHeight="1" x14ac:dyDescent="0.3">
      <c r="C478" s="19"/>
      <c r="D478" s="19"/>
      <c r="E478" s="19"/>
      <c r="F478" s="20"/>
      <c r="G478" s="20"/>
      <c r="H478" s="21"/>
      <c r="I478" s="22"/>
      <c r="J478" s="21"/>
      <c r="K478" s="19"/>
      <c r="L478" s="23"/>
      <c r="M478" s="23"/>
      <c r="O478" s="18"/>
    </row>
    <row r="479" spans="3:15" ht="18" customHeight="1" x14ac:dyDescent="0.3">
      <c r="C479" s="19"/>
      <c r="D479" s="19"/>
      <c r="E479" s="19"/>
      <c r="F479" s="20"/>
      <c r="G479" s="20"/>
      <c r="H479" s="21"/>
      <c r="I479" s="22"/>
      <c r="J479" s="21"/>
      <c r="K479" s="19"/>
      <c r="L479" s="23"/>
      <c r="M479" s="23"/>
      <c r="O479" s="18"/>
    </row>
    <row r="480" spans="3:15" ht="18" customHeight="1" x14ac:dyDescent="0.3">
      <c r="C480" s="19"/>
      <c r="D480" s="19"/>
      <c r="E480" s="19"/>
      <c r="F480" s="20"/>
      <c r="G480" s="20"/>
      <c r="H480" s="21"/>
      <c r="I480" s="22"/>
      <c r="J480" s="21"/>
      <c r="K480" s="19"/>
      <c r="L480" s="23"/>
      <c r="M480" s="23"/>
      <c r="O480" s="18"/>
    </row>
    <row r="481" spans="3:15" ht="18" customHeight="1" x14ac:dyDescent="0.3">
      <c r="C481" s="19"/>
      <c r="D481" s="19"/>
      <c r="E481" s="19"/>
      <c r="F481" s="20"/>
      <c r="G481" s="20"/>
      <c r="H481" s="21"/>
      <c r="I481" s="22"/>
      <c r="J481" s="21"/>
      <c r="K481" s="19"/>
      <c r="L481" s="23"/>
      <c r="M481" s="23"/>
      <c r="O481" s="18"/>
    </row>
    <row r="482" spans="3:15" ht="18" customHeight="1" x14ac:dyDescent="0.3">
      <c r="C482" s="19"/>
      <c r="D482" s="19"/>
      <c r="E482" s="19"/>
      <c r="F482" s="20"/>
      <c r="G482" s="20"/>
      <c r="H482" s="21"/>
      <c r="I482" s="22"/>
      <c r="J482" s="21"/>
      <c r="K482" s="19"/>
      <c r="L482" s="23"/>
      <c r="M482" s="23"/>
      <c r="O482" s="18"/>
    </row>
    <row r="483" spans="3:15" ht="18" customHeight="1" x14ac:dyDescent="0.3">
      <c r="C483" s="19"/>
      <c r="D483" s="19"/>
      <c r="E483" s="19"/>
      <c r="F483" s="20"/>
      <c r="G483" s="20"/>
      <c r="H483" s="21"/>
      <c r="I483" s="22"/>
      <c r="J483" s="21"/>
      <c r="K483" s="19"/>
      <c r="L483" s="23"/>
      <c r="M483" s="23"/>
      <c r="O483" s="18"/>
    </row>
    <row r="484" spans="3:15" ht="18" customHeight="1" x14ac:dyDescent="0.3">
      <c r="C484" s="19"/>
      <c r="D484" s="19"/>
      <c r="E484" s="19"/>
      <c r="F484" s="20"/>
      <c r="G484" s="20"/>
      <c r="H484" s="21"/>
      <c r="I484" s="22"/>
      <c r="J484" s="21"/>
      <c r="K484" s="19"/>
      <c r="L484" s="23"/>
      <c r="M484" s="23"/>
      <c r="O484" s="18"/>
    </row>
    <row r="485" spans="3:15" ht="18" customHeight="1" x14ac:dyDescent="0.3">
      <c r="C485" s="19"/>
      <c r="D485" s="19"/>
      <c r="E485" s="19"/>
      <c r="F485" s="20"/>
      <c r="G485" s="20"/>
      <c r="H485" s="21"/>
      <c r="I485" s="22"/>
      <c r="J485" s="21"/>
      <c r="K485" s="19"/>
      <c r="L485" s="23"/>
      <c r="M485" s="23"/>
      <c r="O485" s="18"/>
    </row>
    <row r="486" spans="3:15" ht="18" customHeight="1" x14ac:dyDescent="0.3">
      <c r="C486" s="19"/>
      <c r="D486" s="19"/>
      <c r="E486" s="19"/>
      <c r="F486" s="20"/>
      <c r="G486" s="20"/>
      <c r="H486" s="21"/>
      <c r="I486" s="22"/>
      <c r="J486" s="21"/>
      <c r="K486" s="19"/>
      <c r="L486" s="23"/>
      <c r="M486" s="23"/>
      <c r="O486" s="18"/>
    </row>
    <row r="487" spans="3:15" ht="18" customHeight="1" x14ac:dyDescent="0.3">
      <c r="C487" s="19"/>
      <c r="D487" s="19"/>
      <c r="E487" s="19"/>
      <c r="F487" s="20"/>
      <c r="G487" s="20"/>
      <c r="H487" s="21"/>
      <c r="I487" s="22"/>
      <c r="J487" s="21"/>
      <c r="K487" s="19"/>
      <c r="L487" s="23"/>
      <c r="M487" s="23"/>
      <c r="O487" s="18"/>
    </row>
    <row r="488" spans="3:15" ht="18" customHeight="1" x14ac:dyDescent="0.3">
      <c r="C488" s="19"/>
      <c r="D488" s="19"/>
      <c r="E488" s="19"/>
      <c r="F488" s="20"/>
      <c r="G488" s="20"/>
      <c r="H488" s="21"/>
      <c r="I488" s="22"/>
      <c r="J488" s="21"/>
      <c r="K488" s="19"/>
      <c r="L488" s="23"/>
      <c r="M488" s="23"/>
      <c r="O488" s="18"/>
    </row>
    <row r="489" spans="3:15" ht="18" customHeight="1" x14ac:dyDescent="0.3">
      <c r="C489" s="19"/>
      <c r="D489" s="19"/>
      <c r="E489" s="19"/>
      <c r="F489" s="20"/>
      <c r="G489" s="20"/>
      <c r="H489" s="21"/>
      <c r="I489" s="22"/>
      <c r="J489" s="21"/>
      <c r="K489" s="19"/>
      <c r="L489" s="23"/>
      <c r="M489" s="23"/>
      <c r="O489" s="18"/>
    </row>
    <row r="490" spans="3:15" ht="18" customHeight="1" x14ac:dyDescent="0.3">
      <c r="C490" s="19"/>
      <c r="D490" s="19"/>
      <c r="E490" s="19"/>
      <c r="F490" s="20"/>
      <c r="G490" s="20"/>
      <c r="H490" s="21"/>
      <c r="I490" s="22"/>
      <c r="J490" s="21"/>
      <c r="K490" s="19"/>
      <c r="L490" s="23"/>
      <c r="M490" s="23"/>
      <c r="O490" s="18"/>
    </row>
    <row r="491" spans="3:15" ht="18" customHeight="1" x14ac:dyDescent="0.3">
      <c r="C491" s="19"/>
      <c r="D491" s="19"/>
      <c r="E491" s="19"/>
      <c r="F491" s="20"/>
      <c r="G491" s="20"/>
      <c r="H491" s="21"/>
      <c r="I491" s="22"/>
      <c r="J491" s="21"/>
      <c r="K491" s="19"/>
      <c r="L491" s="23"/>
      <c r="M491" s="23"/>
      <c r="O491" s="18"/>
    </row>
    <row r="492" spans="3:15" ht="18" customHeight="1" x14ac:dyDescent="0.3">
      <c r="C492" s="19"/>
      <c r="D492" s="19"/>
      <c r="E492" s="19"/>
      <c r="F492" s="20"/>
      <c r="G492" s="20"/>
      <c r="H492" s="21"/>
      <c r="I492" s="22"/>
      <c r="J492" s="21"/>
      <c r="K492" s="19"/>
      <c r="L492" s="23"/>
      <c r="M492" s="23"/>
      <c r="O492" s="18"/>
    </row>
    <row r="493" spans="3:15" ht="18" customHeight="1" x14ac:dyDescent="0.3">
      <c r="C493" s="19"/>
      <c r="D493" s="19"/>
      <c r="E493" s="19"/>
      <c r="F493" s="20"/>
      <c r="G493" s="20"/>
      <c r="H493" s="21"/>
      <c r="I493" s="22"/>
      <c r="J493" s="21"/>
      <c r="K493" s="19"/>
      <c r="L493" s="23"/>
      <c r="M493" s="23"/>
      <c r="O493" s="18"/>
    </row>
    <row r="494" spans="3:15" ht="18" customHeight="1" x14ac:dyDescent="0.3">
      <c r="C494" s="19"/>
      <c r="D494" s="19"/>
      <c r="E494" s="19"/>
      <c r="F494" s="20"/>
      <c r="G494" s="20"/>
      <c r="H494" s="21"/>
      <c r="I494" s="22"/>
      <c r="J494" s="21"/>
      <c r="K494" s="19"/>
      <c r="L494" s="23"/>
      <c r="M494" s="23"/>
      <c r="O494" s="18"/>
    </row>
    <row r="495" spans="3:15" ht="18" customHeight="1" x14ac:dyDescent="0.3">
      <c r="C495" s="19"/>
      <c r="D495" s="19"/>
      <c r="E495" s="19"/>
      <c r="F495" s="20"/>
      <c r="G495" s="20"/>
      <c r="H495" s="21"/>
      <c r="I495" s="22"/>
      <c r="J495" s="21"/>
      <c r="K495" s="19"/>
      <c r="L495" s="23"/>
      <c r="M495" s="23"/>
      <c r="O495" s="18"/>
    </row>
    <row r="496" spans="3:15" ht="18" customHeight="1" x14ac:dyDescent="0.3">
      <c r="C496" s="19"/>
      <c r="D496" s="19"/>
      <c r="E496" s="19"/>
      <c r="F496" s="20"/>
      <c r="G496" s="20"/>
      <c r="H496" s="21"/>
      <c r="I496" s="22"/>
      <c r="J496" s="21"/>
      <c r="K496" s="19"/>
      <c r="L496" s="23"/>
      <c r="M496" s="23"/>
      <c r="O496" s="18"/>
    </row>
    <row r="497" spans="3:15" ht="18" customHeight="1" x14ac:dyDescent="0.3">
      <c r="C497" s="19"/>
      <c r="D497" s="19"/>
      <c r="E497" s="19"/>
      <c r="F497" s="20"/>
      <c r="G497" s="20"/>
      <c r="H497" s="21"/>
      <c r="I497" s="22"/>
      <c r="J497" s="21"/>
      <c r="K497" s="19"/>
      <c r="L497" s="23"/>
      <c r="M497" s="23"/>
      <c r="O497" s="18"/>
    </row>
    <row r="498" spans="3:15" ht="18" customHeight="1" x14ac:dyDescent="0.3">
      <c r="C498" s="19"/>
      <c r="D498" s="19"/>
      <c r="E498" s="19"/>
      <c r="F498" s="20"/>
      <c r="G498" s="20"/>
      <c r="H498" s="21"/>
      <c r="I498" s="22"/>
      <c r="J498" s="21"/>
      <c r="K498" s="19"/>
      <c r="L498" s="23"/>
      <c r="M498" s="23"/>
      <c r="O498" s="18"/>
    </row>
    <row r="499" spans="3:15" ht="18" customHeight="1" x14ac:dyDescent="0.3">
      <c r="C499" s="19"/>
      <c r="D499" s="19"/>
      <c r="E499" s="19"/>
      <c r="F499" s="20"/>
      <c r="G499" s="20"/>
      <c r="H499" s="21"/>
      <c r="I499" s="22"/>
      <c r="J499" s="21"/>
      <c r="K499" s="19"/>
      <c r="L499" s="23"/>
      <c r="M499" s="23"/>
      <c r="O499" s="18"/>
    </row>
    <row r="500" spans="3:15" ht="18" customHeight="1" x14ac:dyDescent="0.3">
      <c r="C500" s="19"/>
      <c r="D500" s="19"/>
      <c r="E500" s="19"/>
      <c r="F500" s="20"/>
      <c r="G500" s="20"/>
      <c r="H500" s="21"/>
      <c r="I500" s="22"/>
      <c r="J500" s="21"/>
      <c r="K500" s="19"/>
      <c r="L500" s="23"/>
      <c r="M500" s="23"/>
      <c r="O500" s="18"/>
    </row>
    <row r="501" spans="3:15" ht="18" customHeight="1" x14ac:dyDescent="0.3">
      <c r="C501" s="19"/>
      <c r="D501" s="19"/>
      <c r="E501" s="19"/>
      <c r="F501" s="20"/>
      <c r="G501" s="20"/>
      <c r="H501" s="21"/>
      <c r="I501" s="22"/>
      <c r="J501" s="21"/>
      <c r="K501" s="19"/>
      <c r="L501" s="23"/>
      <c r="M501" s="23"/>
      <c r="O501" s="18"/>
    </row>
    <row r="502" spans="3:15" ht="18" customHeight="1" x14ac:dyDescent="0.3">
      <c r="C502" s="19"/>
      <c r="D502" s="19"/>
      <c r="E502" s="19"/>
      <c r="F502" s="20"/>
      <c r="G502" s="20"/>
      <c r="H502" s="21"/>
      <c r="I502" s="22"/>
      <c r="J502" s="21"/>
      <c r="K502" s="19"/>
      <c r="L502" s="23"/>
      <c r="M502" s="23"/>
      <c r="O502" s="18"/>
    </row>
    <row r="503" spans="3:15" ht="18" customHeight="1" x14ac:dyDescent="0.3">
      <c r="C503" s="19"/>
      <c r="D503" s="19"/>
      <c r="E503" s="19"/>
      <c r="F503" s="20"/>
      <c r="G503" s="20"/>
      <c r="H503" s="21"/>
      <c r="I503" s="22"/>
      <c r="J503" s="21"/>
      <c r="K503" s="19"/>
      <c r="L503" s="23"/>
      <c r="M503" s="23"/>
      <c r="O503" s="18"/>
    </row>
    <row r="504" spans="3:15" ht="18" customHeight="1" x14ac:dyDescent="0.3">
      <c r="C504" s="19"/>
      <c r="D504" s="19"/>
      <c r="E504" s="19"/>
      <c r="F504" s="20"/>
      <c r="G504" s="20"/>
      <c r="H504" s="21"/>
      <c r="I504" s="22"/>
      <c r="J504" s="21"/>
      <c r="K504" s="19"/>
      <c r="L504" s="23"/>
      <c r="M504" s="23"/>
      <c r="O504" s="18"/>
    </row>
    <row r="505" spans="3:15" ht="18" customHeight="1" x14ac:dyDescent="0.3">
      <c r="C505" s="19"/>
      <c r="D505" s="19"/>
      <c r="E505" s="19"/>
      <c r="F505" s="20"/>
      <c r="G505" s="20"/>
      <c r="H505" s="21"/>
      <c r="I505" s="22"/>
      <c r="J505" s="21"/>
      <c r="K505" s="19"/>
      <c r="L505" s="23"/>
      <c r="M505" s="23"/>
      <c r="O505" s="18"/>
    </row>
    <row r="506" spans="3:15" ht="18" customHeight="1" x14ac:dyDescent="0.3">
      <c r="C506" s="19"/>
      <c r="D506" s="19"/>
      <c r="E506" s="19"/>
      <c r="F506" s="20"/>
      <c r="G506" s="20"/>
      <c r="H506" s="21"/>
      <c r="I506" s="22"/>
      <c r="J506" s="21"/>
      <c r="K506" s="19"/>
      <c r="L506" s="23"/>
      <c r="M506" s="23"/>
      <c r="O506" s="18"/>
    </row>
    <row r="507" spans="3:15" ht="18" customHeight="1" x14ac:dyDescent="0.3">
      <c r="C507" s="19"/>
      <c r="D507" s="19"/>
      <c r="E507" s="19"/>
      <c r="F507" s="20"/>
      <c r="G507" s="20"/>
      <c r="H507" s="21"/>
      <c r="I507" s="22"/>
      <c r="J507" s="21"/>
      <c r="K507" s="19"/>
      <c r="L507" s="23"/>
      <c r="M507" s="23"/>
      <c r="O507" s="18"/>
    </row>
    <row r="508" spans="3:15" ht="18" customHeight="1" x14ac:dyDescent="0.3">
      <c r="C508" s="19"/>
      <c r="D508" s="19"/>
      <c r="E508" s="19"/>
      <c r="F508" s="20"/>
      <c r="G508" s="20"/>
      <c r="H508" s="21"/>
      <c r="I508" s="22"/>
      <c r="J508" s="21"/>
      <c r="K508" s="19"/>
      <c r="L508" s="23"/>
      <c r="M508" s="23"/>
      <c r="O508" s="18"/>
    </row>
    <row r="509" spans="3:15" ht="18" customHeight="1" x14ac:dyDescent="0.3">
      <c r="C509" s="19"/>
      <c r="D509" s="19"/>
      <c r="E509" s="19"/>
      <c r="F509" s="20"/>
      <c r="G509" s="20"/>
      <c r="H509" s="21"/>
      <c r="I509" s="22"/>
      <c r="J509" s="21"/>
      <c r="K509" s="19"/>
      <c r="L509" s="23"/>
      <c r="M509" s="23"/>
      <c r="O509" s="18"/>
    </row>
    <row r="510" spans="3:15" ht="18" customHeight="1" x14ac:dyDescent="0.3">
      <c r="C510" s="19"/>
      <c r="D510" s="19"/>
      <c r="E510" s="19"/>
      <c r="F510" s="20"/>
      <c r="G510" s="20"/>
      <c r="H510" s="21"/>
      <c r="I510" s="22"/>
      <c r="J510" s="21"/>
      <c r="K510" s="19"/>
      <c r="L510" s="23"/>
      <c r="M510" s="23"/>
      <c r="O510" s="18"/>
    </row>
    <row r="511" spans="3:15" ht="18" customHeight="1" x14ac:dyDescent="0.3">
      <c r="C511" s="19"/>
      <c r="D511" s="19"/>
      <c r="E511" s="19"/>
      <c r="F511" s="20"/>
      <c r="G511" s="20"/>
      <c r="H511" s="21"/>
      <c r="I511" s="22"/>
      <c r="J511" s="21"/>
      <c r="K511" s="19"/>
      <c r="L511" s="23"/>
      <c r="M511" s="23"/>
      <c r="O511" s="18"/>
    </row>
    <row r="512" spans="3:15" ht="18" customHeight="1" x14ac:dyDescent="0.3">
      <c r="C512" s="19"/>
      <c r="D512" s="19"/>
      <c r="E512" s="19"/>
      <c r="F512" s="20"/>
      <c r="G512" s="20"/>
      <c r="H512" s="21"/>
      <c r="I512" s="22"/>
      <c r="J512" s="21"/>
      <c r="K512" s="19"/>
      <c r="L512" s="23"/>
      <c r="M512" s="23"/>
      <c r="O512" s="18"/>
    </row>
    <row r="513" spans="3:15" ht="18" customHeight="1" x14ac:dyDescent="0.3">
      <c r="C513" s="19"/>
      <c r="D513" s="19"/>
      <c r="E513" s="19"/>
      <c r="F513" s="20"/>
      <c r="G513" s="20"/>
      <c r="H513" s="21"/>
      <c r="I513" s="22"/>
      <c r="J513" s="21"/>
      <c r="K513" s="19"/>
      <c r="L513" s="23"/>
      <c r="M513" s="23"/>
      <c r="O513" s="18"/>
    </row>
    <row r="514" spans="3:15" ht="18" customHeight="1" x14ac:dyDescent="0.3">
      <c r="C514" s="19"/>
      <c r="D514" s="19"/>
      <c r="E514" s="19"/>
      <c r="F514" s="20"/>
      <c r="G514" s="20"/>
      <c r="H514" s="21"/>
      <c r="I514" s="22"/>
      <c r="J514" s="21"/>
      <c r="K514" s="19"/>
      <c r="L514" s="23"/>
      <c r="M514" s="23"/>
      <c r="O514" s="18"/>
    </row>
    <row r="515" spans="3:15" ht="18" customHeight="1" x14ac:dyDescent="0.3">
      <c r="C515" s="19"/>
      <c r="D515" s="19"/>
      <c r="E515" s="19"/>
      <c r="F515" s="20"/>
      <c r="G515" s="20"/>
      <c r="H515" s="21"/>
      <c r="I515" s="22"/>
      <c r="J515" s="21"/>
      <c r="K515" s="19"/>
      <c r="L515" s="23"/>
      <c r="M515" s="23"/>
      <c r="O515" s="18"/>
    </row>
    <row r="516" spans="3:15" ht="18" customHeight="1" x14ac:dyDescent="0.3">
      <c r="C516" s="19"/>
      <c r="D516" s="19"/>
      <c r="E516" s="19"/>
      <c r="F516" s="20"/>
      <c r="G516" s="20"/>
      <c r="H516" s="21"/>
      <c r="I516" s="22"/>
      <c r="J516" s="21"/>
      <c r="K516" s="19"/>
      <c r="L516" s="23"/>
      <c r="M516" s="23"/>
      <c r="O516" s="18"/>
    </row>
    <row r="517" spans="3:15" ht="18" customHeight="1" x14ac:dyDescent="0.3">
      <c r="C517" s="19"/>
      <c r="D517" s="19"/>
      <c r="E517" s="19"/>
      <c r="F517" s="20"/>
      <c r="G517" s="20"/>
      <c r="H517" s="21"/>
      <c r="I517" s="22"/>
      <c r="J517" s="21"/>
      <c r="K517" s="19"/>
      <c r="L517" s="23"/>
      <c r="M517" s="23"/>
      <c r="O517" s="18"/>
    </row>
    <row r="518" spans="3:15" ht="18" customHeight="1" x14ac:dyDescent="0.3">
      <c r="C518" s="19"/>
      <c r="D518" s="19"/>
      <c r="E518" s="19"/>
      <c r="F518" s="20"/>
      <c r="G518" s="20"/>
      <c r="H518" s="21"/>
      <c r="I518" s="22"/>
      <c r="J518" s="21"/>
      <c r="K518" s="19"/>
      <c r="L518" s="23"/>
      <c r="M518" s="23"/>
      <c r="O518" s="18"/>
    </row>
    <row r="519" spans="3:15" ht="18" customHeight="1" x14ac:dyDescent="0.3">
      <c r="C519" s="19"/>
      <c r="D519" s="19"/>
      <c r="E519" s="19"/>
      <c r="F519" s="20"/>
      <c r="G519" s="20"/>
      <c r="H519" s="21"/>
      <c r="I519" s="22"/>
      <c r="J519" s="21"/>
      <c r="K519" s="19"/>
      <c r="L519" s="23"/>
      <c r="M519" s="23"/>
      <c r="O519" s="18"/>
    </row>
    <row r="520" spans="3:15" ht="18" customHeight="1" x14ac:dyDescent="0.3">
      <c r="C520" s="19"/>
      <c r="D520" s="19"/>
      <c r="E520" s="19"/>
      <c r="F520" s="20"/>
      <c r="G520" s="20"/>
      <c r="H520" s="21"/>
      <c r="I520" s="22"/>
      <c r="J520" s="21"/>
      <c r="K520" s="19"/>
      <c r="L520" s="23"/>
      <c r="M520" s="23"/>
      <c r="O520" s="18"/>
    </row>
    <row r="521" spans="3:15" ht="18" customHeight="1" x14ac:dyDescent="0.3">
      <c r="C521" s="19"/>
      <c r="D521" s="19"/>
      <c r="E521" s="19"/>
      <c r="F521" s="20"/>
      <c r="G521" s="20"/>
      <c r="H521" s="21"/>
      <c r="I521" s="22"/>
      <c r="J521" s="21"/>
      <c r="K521" s="19"/>
      <c r="L521" s="23"/>
      <c r="M521" s="23"/>
      <c r="O521" s="18"/>
    </row>
    <row r="522" spans="3:15" ht="18" customHeight="1" x14ac:dyDescent="0.3">
      <c r="C522" s="19"/>
      <c r="D522" s="19"/>
      <c r="E522" s="19"/>
      <c r="F522" s="20"/>
      <c r="G522" s="20"/>
      <c r="H522" s="21"/>
      <c r="I522" s="22"/>
      <c r="J522" s="21"/>
      <c r="K522" s="19"/>
      <c r="L522" s="23"/>
      <c r="M522" s="23"/>
      <c r="O522" s="18"/>
    </row>
    <row r="523" spans="3:15" ht="18" customHeight="1" x14ac:dyDescent="0.3">
      <c r="C523" s="19"/>
      <c r="D523" s="19"/>
      <c r="E523" s="19"/>
      <c r="F523" s="20"/>
      <c r="G523" s="20"/>
      <c r="H523" s="21"/>
      <c r="I523" s="22"/>
      <c r="J523" s="21"/>
      <c r="K523" s="19"/>
      <c r="L523" s="23"/>
      <c r="M523" s="23"/>
      <c r="O523" s="18"/>
    </row>
    <row r="524" spans="3:15" ht="18" customHeight="1" x14ac:dyDescent="0.3">
      <c r="C524" s="19"/>
      <c r="D524" s="19"/>
      <c r="E524" s="19"/>
      <c r="F524" s="20"/>
      <c r="G524" s="20"/>
      <c r="H524" s="21"/>
      <c r="I524" s="22"/>
      <c r="J524" s="21"/>
      <c r="K524" s="19"/>
      <c r="L524" s="23"/>
      <c r="M524" s="23"/>
      <c r="O524" s="18"/>
    </row>
    <row r="525" spans="3:15" ht="18" customHeight="1" x14ac:dyDescent="0.3">
      <c r="C525" s="19"/>
      <c r="D525" s="19"/>
      <c r="E525" s="19"/>
      <c r="F525" s="20"/>
      <c r="G525" s="20"/>
      <c r="H525" s="21"/>
      <c r="I525" s="22"/>
      <c r="J525" s="21"/>
      <c r="K525" s="19"/>
      <c r="L525" s="23"/>
      <c r="M525" s="23"/>
      <c r="O525" s="18"/>
    </row>
    <row r="526" spans="3:15" ht="18" customHeight="1" x14ac:dyDescent="0.3">
      <c r="C526" s="19"/>
      <c r="D526" s="19"/>
      <c r="E526" s="19"/>
      <c r="F526" s="20"/>
      <c r="G526" s="20"/>
      <c r="H526" s="21"/>
      <c r="I526" s="22"/>
      <c r="J526" s="21"/>
      <c r="K526" s="19"/>
      <c r="L526" s="23"/>
      <c r="M526" s="23"/>
      <c r="O526" s="18"/>
    </row>
    <row r="527" spans="3:15" ht="18" customHeight="1" x14ac:dyDescent="0.3">
      <c r="C527" s="19"/>
      <c r="D527" s="19"/>
      <c r="E527" s="19"/>
      <c r="F527" s="20"/>
      <c r="G527" s="20"/>
      <c r="H527" s="21"/>
      <c r="I527" s="22"/>
      <c r="J527" s="21"/>
      <c r="K527" s="19"/>
      <c r="L527" s="23"/>
      <c r="M527" s="23"/>
      <c r="O527" s="18"/>
    </row>
    <row r="528" spans="3:15" ht="18" customHeight="1" x14ac:dyDescent="0.3">
      <c r="C528" s="19"/>
      <c r="D528" s="19"/>
      <c r="E528" s="19"/>
      <c r="F528" s="20"/>
      <c r="G528" s="20"/>
      <c r="H528" s="21"/>
      <c r="I528" s="22"/>
      <c r="J528" s="21"/>
      <c r="K528" s="19"/>
      <c r="L528" s="23"/>
      <c r="M528" s="23"/>
      <c r="O528" s="18"/>
    </row>
    <row r="529" spans="3:15" ht="18" customHeight="1" x14ac:dyDescent="0.3">
      <c r="C529" s="19"/>
      <c r="D529" s="19"/>
      <c r="E529" s="19"/>
      <c r="F529" s="20"/>
      <c r="G529" s="20"/>
      <c r="H529" s="21"/>
      <c r="I529" s="22"/>
      <c r="J529" s="21"/>
      <c r="K529" s="19"/>
      <c r="L529" s="23"/>
      <c r="M529" s="23"/>
      <c r="O529" s="18"/>
    </row>
    <row r="530" spans="3:15" ht="18" customHeight="1" x14ac:dyDescent="0.3">
      <c r="C530" s="19"/>
      <c r="D530" s="19"/>
      <c r="E530" s="19"/>
      <c r="F530" s="20"/>
      <c r="G530" s="20"/>
      <c r="H530" s="21"/>
      <c r="I530" s="22"/>
      <c r="J530" s="21"/>
      <c r="K530" s="19"/>
      <c r="L530" s="23"/>
      <c r="M530" s="23"/>
      <c r="O530" s="18"/>
    </row>
    <row r="531" spans="3:15" ht="18" customHeight="1" x14ac:dyDescent="0.3">
      <c r="C531" s="19"/>
      <c r="D531" s="19"/>
      <c r="E531" s="19"/>
      <c r="F531" s="20"/>
      <c r="G531" s="20"/>
      <c r="H531" s="21"/>
      <c r="I531" s="22"/>
      <c r="J531" s="21"/>
      <c r="K531" s="19"/>
      <c r="L531" s="23"/>
      <c r="M531" s="23"/>
      <c r="O531" s="18"/>
    </row>
    <row r="532" spans="3:15" ht="18" customHeight="1" x14ac:dyDescent="0.3">
      <c r="C532" s="19"/>
      <c r="D532" s="19"/>
      <c r="E532" s="19"/>
      <c r="F532" s="20"/>
      <c r="G532" s="20"/>
      <c r="H532" s="21"/>
      <c r="I532" s="22"/>
      <c r="J532" s="21"/>
      <c r="K532" s="19"/>
      <c r="L532" s="23"/>
      <c r="M532" s="23"/>
      <c r="O532" s="18"/>
    </row>
    <row r="533" spans="3:15" ht="18" customHeight="1" x14ac:dyDescent="0.3">
      <c r="C533" s="19"/>
      <c r="D533" s="19"/>
      <c r="E533" s="19"/>
      <c r="F533" s="20"/>
      <c r="G533" s="20"/>
      <c r="H533" s="21"/>
      <c r="I533" s="22"/>
      <c r="J533" s="21"/>
      <c r="K533" s="19"/>
      <c r="L533" s="23"/>
      <c r="M533" s="23"/>
      <c r="O533" s="18"/>
    </row>
    <row r="534" spans="3:15" ht="18" customHeight="1" x14ac:dyDescent="0.3">
      <c r="C534" s="19"/>
      <c r="D534" s="19"/>
      <c r="E534" s="19"/>
      <c r="F534" s="20"/>
      <c r="G534" s="20"/>
      <c r="H534" s="21"/>
      <c r="I534" s="22"/>
      <c r="J534" s="21"/>
      <c r="K534" s="19"/>
      <c r="L534" s="23"/>
      <c r="M534" s="23"/>
      <c r="O534" s="18"/>
    </row>
    <row r="535" spans="3:15" ht="18" customHeight="1" x14ac:dyDescent="0.3">
      <c r="C535" s="19"/>
      <c r="D535" s="19"/>
      <c r="E535" s="19"/>
      <c r="F535" s="20"/>
      <c r="G535" s="20"/>
      <c r="H535" s="21"/>
      <c r="I535" s="22"/>
      <c r="J535" s="21"/>
      <c r="K535" s="19"/>
      <c r="L535" s="23"/>
      <c r="M535" s="23"/>
      <c r="O535" s="18"/>
    </row>
    <row r="536" spans="3:15" ht="18" customHeight="1" x14ac:dyDescent="0.3">
      <c r="C536" s="19"/>
      <c r="D536" s="19"/>
      <c r="E536" s="19"/>
      <c r="F536" s="20"/>
      <c r="G536" s="20"/>
      <c r="H536" s="21"/>
      <c r="I536" s="22"/>
      <c r="J536" s="21"/>
      <c r="K536" s="19"/>
      <c r="L536" s="23"/>
      <c r="M536" s="23"/>
      <c r="O536" s="18"/>
    </row>
    <row r="537" spans="3:15" ht="18" customHeight="1" x14ac:dyDescent="0.3">
      <c r="C537" s="19"/>
      <c r="D537" s="19"/>
      <c r="E537" s="19"/>
      <c r="F537" s="20"/>
      <c r="G537" s="20"/>
      <c r="H537" s="21"/>
      <c r="I537" s="22"/>
      <c r="J537" s="21"/>
      <c r="K537" s="19"/>
      <c r="L537" s="23"/>
      <c r="M537" s="23"/>
      <c r="O537" s="18"/>
    </row>
    <row r="538" spans="3:15" ht="18" customHeight="1" x14ac:dyDescent="0.3">
      <c r="C538" s="19"/>
      <c r="D538" s="19"/>
      <c r="E538" s="19"/>
      <c r="F538" s="20"/>
      <c r="G538" s="20"/>
      <c r="H538" s="21"/>
      <c r="I538" s="22"/>
      <c r="J538" s="21"/>
      <c r="K538" s="19"/>
      <c r="L538" s="23"/>
      <c r="M538" s="23"/>
      <c r="O538" s="18"/>
    </row>
    <row r="539" spans="3:15" ht="18" customHeight="1" x14ac:dyDescent="0.3">
      <c r="C539" s="19"/>
      <c r="D539" s="19"/>
      <c r="E539" s="19"/>
      <c r="F539" s="20"/>
      <c r="G539" s="20"/>
      <c r="H539" s="21"/>
      <c r="I539" s="22"/>
      <c r="J539" s="21"/>
      <c r="K539" s="19"/>
      <c r="L539" s="23"/>
      <c r="M539" s="23"/>
      <c r="O539" s="18"/>
    </row>
    <row r="540" spans="3:15" ht="18" customHeight="1" x14ac:dyDescent="0.3">
      <c r="C540" s="19"/>
      <c r="D540" s="19"/>
      <c r="E540" s="19"/>
      <c r="F540" s="20"/>
      <c r="G540" s="20"/>
      <c r="H540" s="21"/>
      <c r="I540" s="22"/>
      <c r="J540" s="21"/>
      <c r="K540" s="19"/>
      <c r="L540" s="23"/>
      <c r="M540" s="23"/>
      <c r="O540" s="18"/>
    </row>
    <row r="541" spans="3:15" ht="18" customHeight="1" x14ac:dyDescent="0.3">
      <c r="C541" s="19"/>
      <c r="D541" s="19"/>
      <c r="E541" s="19"/>
      <c r="F541" s="20"/>
      <c r="G541" s="20"/>
      <c r="H541" s="21"/>
      <c r="I541" s="22"/>
      <c r="J541" s="21"/>
      <c r="K541" s="19"/>
      <c r="L541" s="23"/>
      <c r="M541" s="23"/>
      <c r="O541" s="18"/>
    </row>
    <row r="542" spans="3:15" ht="18" customHeight="1" x14ac:dyDescent="0.3">
      <c r="C542" s="19"/>
      <c r="D542" s="19"/>
      <c r="E542" s="19"/>
      <c r="F542" s="20"/>
      <c r="G542" s="20"/>
      <c r="H542" s="21"/>
      <c r="I542" s="22"/>
      <c r="J542" s="21"/>
      <c r="K542" s="19"/>
      <c r="L542" s="23"/>
      <c r="M542" s="23"/>
      <c r="O542" s="18"/>
    </row>
    <row r="543" spans="3:15" ht="18" customHeight="1" x14ac:dyDescent="0.3">
      <c r="C543" s="19"/>
      <c r="D543" s="19"/>
      <c r="E543" s="19"/>
      <c r="F543" s="20"/>
      <c r="G543" s="20"/>
      <c r="H543" s="21"/>
      <c r="I543" s="22"/>
      <c r="J543" s="21"/>
      <c r="K543" s="19"/>
      <c r="L543" s="23"/>
      <c r="M543" s="23"/>
      <c r="O543" s="18"/>
    </row>
    <row r="544" spans="3:15" ht="18" customHeight="1" x14ac:dyDescent="0.3">
      <c r="C544" s="19"/>
      <c r="D544" s="19"/>
      <c r="E544" s="19"/>
      <c r="F544" s="20"/>
      <c r="G544" s="20"/>
      <c r="H544" s="21"/>
      <c r="I544" s="22"/>
      <c r="J544" s="21"/>
      <c r="K544" s="19"/>
      <c r="L544" s="23"/>
      <c r="M544" s="23"/>
      <c r="O544" s="18"/>
    </row>
    <row r="545" spans="3:15" ht="18" customHeight="1" x14ac:dyDescent="0.3">
      <c r="C545" s="19"/>
      <c r="D545" s="19"/>
      <c r="E545" s="19"/>
      <c r="F545" s="20"/>
      <c r="G545" s="20"/>
      <c r="H545" s="21"/>
      <c r="I545" s="22"/>
      <c r="J545" s="21"/>
      <c r="K545" s="19"/>
      <c r="L545" s="23"/>
      <c r="M545" s="23"/>
      <c r="O545" s="18"/>
    </row>
    <row r="546" spans="3:15" ht="18" customHeight="1" x14ac:dyDescent="0.3">
      <c r="C546" s="19"/>
      <c r="D546" s="19"/>
      <c r="E546" s="19"/>
      <c r="F546" s="20"/>
      <c r="G546" s="20"/>
      <c r="H546" s="21"/>
      <c r="I546" s="22"/>
      <c r="J546" s="21"/>
      <c r="K546" s="19"/>
      <c r="L546" s="23"/>
      <c r="M546" s="23"/>
      <c r="O546" s="18"/>
    </row>
    <row r="547" spans="3:15" ht="18" customHeight="1" x14ac:dyDescent="0.3">
      <c r="C547" s="19"/>
      <c r="D547" s="19"/>
      <c r="E547" s="19"/>
      <c r="F547" s="20"/>
      <c r="G547" s="20"/>
      <c r="H547" s="21"/>
      <c r="I547" s="22"/>
      <c r="J547" s="21"/>
      <c r="K547" s="19"/>
      <c r="L547" s="23"/>
      <c r="M547" s="23"/>
      <c r="O547" s="18"/>
    </row>
    <row r="548" spans="3:15" ht="18" customHeight="1" x14ac:dyDescent="0.3">
      <c r="C548" s="19"/>
      <c r="D548" s="19"/>
      <c r="E548" s="19"/>
      <c r="F548" s="20"/>
      <c r="G548" s="20"/>
      <c r="H548" s="21"/>
      <c r="I548" s="22"/>
      <c r="J548" s="21"/>
      <c r="K548" s="19"/>
      <c r="L548" s="23"/>
      <c r="M548" s="23"/>
      <c r="O548" s="18"/>
    </row>
    <row r="549" spans="3:15" ht="18" customHeight="1" x14ac:dyDescent="0.3">
      <c r="C549" s="19"/>
      <c r="D549" s="19"/>
      <c r="E549" s="19"/>
      <c r="F549" s="20"/>
      <c r="G549" s="20"/>
      <c r="H549" s="21"/>
      <c r="I549" s="22"/>
      <c r="J549" s="21"/>
      <c r="K549" s="19"/>
      <c r="L549" s="23"/>
      <c r="M549" s="23"/>
      <c r="O549" s="18"/>
    </row>
    <row r="550" spans="3:15" ht="18" customHeight="1" x14ac:dyDescent="0.3">
      <c r="C550" s="19"/>
      <c r="D550" s="19"/>
      <c r="E550" s="19"/>
      <c r="F550" s="20"/>
      <c r="G550" s="20"/>
      <c r="H550" s="21"/>
      <c r="I550" s="22"/>
      <c r="J550" s="21"/>
      <c r="K550" s="19"/>
      <c r="L550" s="23"/>
      <c r="M550" s="23"/>
      <c r="O550" s="18"/>
    </row>
    <row r="551" spans="3:15" ht="18" customHeight="1" x14ac:dyDescent="0.3">
      <c r="C551" s="19"/>
      <c r="D551" s="19"/>
      <c r="E551" s="19"/>
      <c r="F551" s="20"/>
      <c r="G551" s="20"/>
      <c r="H551" s="21"/>
      <c r="I551" s="22"/>
      <c r="J551" s="21"/>
      <c r="K551" s="19"/>
      <c r="L551" s="23"/>
      <c r="M551" s="23"/>
      <c r="O551" s="18"/>
    </row>
    <row r="552" spans="3:15" ht="18" customHeight="1" x14ac:dyDescent="0.3">
      <c r="C552" s="19"/>
      <c r="D552" s="19"/>
      <c r="E552" s="19"/>
      <c r="F552" s="20"/>
      <c r="G552" s="20"/>
      <c r="H552" s="21"/>
      <c r="I552" s="22"/>
      <c r="J552" s="21"/>
      <c r="K552" s="19"/>
      <c r="L552" s="23"/>
      <c r="M552" s="23"/>
      <c r="O552" s="18"/>
    </row>
    <row r="553" spans="3:15" ht="18" customHeight="1" x14ac:dyDescent="0.3">
      <c r="C553" s="19"/>
      <c r="D553" s="19"/>
      <c r="E553" s="19"/>
      <c r="F553" s="20"/>
      <c r="G553" s="20"/>
      <c r="H553" s="21"/>
      <c r="I553" s="22"/>
      <c r="J553" s="21"/>
      <c r="K553" s="19"/>
      <c r="L553" s="23"/>
      <c r="M553" s="23"/>
      <c r="O553" s="18"/>
    </row>
    <row r="554" spans="3:15" ht="18" customHeight="1" x14ac:dyDescent="0.3">
      <c r="C554" s="19"/>
      <c r="D554" s="19"/>
      <c r="E554" s="19"/>
      <c r="F554" s="20"/>
      <c r="G554" s="20"/>
      <c r="H554" s="21"/>
      <c r="I554" s="22"/>
      <c r="J554" s="21"/>
      <c r="K554" s="19"/>
      <c r="L554" s="23"/>
      <c r="M554" s="23"/>
      <c r="O554" s="18"/>
    </row>
    <row r="555" spans="3:15" ht="18" customHeight="1" x14ac:dyDescent="0.3">
      <c r="C555" s="19"/>
      <c r="D555" s="19"/>
      <c r="E555" s="19"/>
      <c r="F555" s="20"/>
      <c r="G555" s="20"/>
      <c r="H555" s="21"/>
      <c r="I555" s="22"/>
      <c r="J555" s="21"/>
      <c r="K555" s="19"/>
      <c r="L555" s="23"/>
      <c r="M555" s="23"/>
      <c r="O555" s="18"/>
    </row>
    <row r="556" spans="3:15" ht="18" customHeight="1" x14ac:dyDescent="0.3">
      <c r="C556" s="19"/>
      <c r="D556" s="19"/>
      <c r="E556" s="19"/>
      <c r="F556" s="20"/>
      <c r="G556" s="20"/>
      <c r="H556" s="21"/>
      <c r="I556" s="22"/>
      <c r="J556" s="21"/>
      <c r="K556" s="19"/>
      <c r="L556" s="23"/>
      <c r="M556" s="23"/>
      <c r="O556" s="18"/>
    </row>
    <row r="557" spans="3:15" ht="18" customHeight="1" x14ac:dyDescent="0.3">
      <c r="C557" s="19"/>
      <c r="D557" s="19"/>
      <c r="E557" s="19"/>
      <c r="F557" s="20"/>
      <c r="G557" s="20"/>
      <c r="H557" s="21"/>
      <c r="I557" s="22"/>
      <c r="J557" s="21"/>
      <c r="K557" s="19"/>
      <c r="L557" s="23"/>
      <c r="M557" s="23"/>
      <c r="O557" s="18"/>
    </row>
    <row r="558" spans="3:15" ht="18" customHeight="1" x14ac:dyDescent="0.3">
      <c r="C558" s="19"/>
      <c r="D558" s="19"/>
      <c r="E558" s="19"/>
      <c r="F558" s="20"/>
      <c r="G558" s="20"/>
      <c r="H558" s="21"/>
      <c r="I558" s="22"/>
      <c r="J558" s="21"/>
      <c r="K558" s="19"/>
      <c r="L558" s="23"/>
      <c r="M558" s="23"/>
      <c r="O558" s="18"/>
    </row>
    <row r="559" spans="3:15" ht="18" customHeight="1" x14ac:dyDescent="0.3">
      <c r="C559" s="19"/>
      <c r="D559" s="19"/>
      <c r="E559" s="19"/>
      <c r="F559" s="20"/>
      <c r="G559" s="20"/>
      <c r="H559" s="21"/>
      <c r="I559" s="22"/>
      <c r="J559" s="21"/>
      <c r="K559" s="19"/>
      <c r="L559" s="23"/>
      <c r="M559" s="23"/>
      <c r="O559" s="18"/>
    </row>
    <row r="560" spans="3:15" ht="18" customHeight="1" x14ac:dyDescent="0.3">
      <c r="C560" s="19"/>
      <c r="D560" s="19"/>
      <c r="E560" s="19"/>
      <c r="F560" s="20"/>
      <c r="G560" s="20"/>
      <c r="H560" s="21"/>
      <c r="I560" s="22"/>
      <c r="J560" s="21"/>
      <c r="K560" s="19"/>
      <c r="L560" s="23"/>
      <c r="M560" s="23"/>
      <c r="O560" s="18"/>
    </row>
    <row r="561" spans="3:15" ht="18" customHeight="1" x14ac:dyDescent="0.3">
      <c r="C561" s="19"/>
      <c r="D561" s="19"/>
      <c r="E561" s="19"/>
      <c r="F561" s="20"/>
      <c r="G561" s="20"/>
      <c r="H561" s="21"/>
      <c r="I561" s="22"/>
      <c r="J561" s="21"/>
      <c r="K561" s="19"/>
      <c r="L561" s="23"/>
      <c r="M561" s="23"/>
      <c r="O561" s="18"/>
    </row>
    <row r="562" spans="3:15" ht="18" customHeight="1" x14ac:dyDescent="0.3">
      <c r="C562" s="19"/>
      <c r="D562" s="19"/>
      <c r="E562" s="19"/>
      <c r="F562" s="20"/>
      <c r="G562" s="20"/>
      <c r="H562" s="21"/>
      <c r="I562" s="22"/>
      <c r="J562" s="21"/>
      <c r="K562" s="19"/>
      <c r="L562" s="23"/>
      <c r="M562" s="23"/>
      <c r="O562" s="18"/>
    </row>
    <row r="563" spans="3:15" ht="18" customHeight="1" x14ac:dyDescent="0.3">
      <c r="C563" s="19"/>
      <c r="D563" s="19"/>
      <c r="E563" s="19"/>
      <c r="F563" s="20"/>
      <c r="G563" s="20"/>
      <c r="H563" s="21"/>
      <c r="I563" s="22"/>
      <c r="J563" s="21"/>
      <c r="K563" s="19"/>
      <c r="L563" s="23"/>
      <c r="M563" s="23"/>
      <c r="O563" s="18"/>
    </row>
    <row r="564" spans="3:15" ht="18" customHeight="1" x14ac:dyDescent="0.3">
      <c r="C564" s="19"/>
      <c r="D564" s="19"/>
      <c r="E564" s="19"/>
      <c r="F564" s="20"/>
      <c r="G564" s="20"/>
      <c r="H564" s="21"/>
      <c r="I564" s="22"/>
      <c r="J564" s="21"/>
      <c r="K564" s="19"/>
      <c r="L564" s="23"/>
      <c r="M564" s="23"/>
      <c r="O564" s="18"/>
    </row>
    <row r="565" spans="3:15" ht="18" customHeight="1" x14ac:dyDescent="0.3">
      <c r="C565" s="19"/>
      <c r="D565" s="19"/>
      <c r="E565" s="19"/>
      <c r="F565" s="20"/>
      <c r="G565" s="20"/>
      <c r="H565" s="21"/>
      <c r="I565" s="22"/>
      <c r="J565" s="21"/>
      <c r="K565" s="19"/>
      <c r="L565" s="23"/>
      <c r="M565" s="23"/>
      <c r="O565" s="18"/>
    </row>
    <row r="566" spans="3:15" ht="18" customHeight="1" x14ac:dyDescent="0.3">
      <c r="C566" s="19"/>
      <c r="D566" s="19"/>
      <c r="E566" s="19"/>
      <c r="F566" s="20"/>
      <c r="G566" s="20"/>
      <c r="H566" s="21"/>
      <c r="I566" s="22"/>
      <c r="J566" s="21"/>
      <c r="K566" s="19"/>
      <c r="L566" s="23"/>
      <c r="M566" s="23"/>
      <c r="O566" s="18"/>
    </row>
    <row r="567" spans="3:15" ht="18" customHeight="1" x14ac:dyDescent="0.3">
      <c r="C567" s="19"/>
      <c r="D567" s="19"/>
      <c r="E567" s="19"/>
      <c r="F567" s="20"/>
      <c r="G567" s="20"/>
      <c r="H567" s="21"/>
      <c r="I567" s="22"/>
      <c r="J567" s="21"/>
      <c r="K567" s="19"/>
      <c r="L567" s="23"/>
      <c r="M567" s="23"/>
      <c r="O567" s="18"/>
    </row>
    <row r="568" spans="3:15" ht="18" customHeight="1" x14ac:dyDescent="0.3">
      <c r="C568" s="19"/>
      <c r="D568" s="19"/>
      <c r="E568" s="19"/>
      <c r="F568" s="20"/>
      <c r="G568" s="20"/>
      <c r="H568" s="21"/>
      <c r="I568" s="22"/>
      <c r="J568" s="21"/>
      <c r="K568" s="19"/>
      <c r="L568" s="23"/>
      <c r="M568" s="23"/>
      <c r="O568" s="18"/>
    </row>
    <row r="569" spans="3:15" ht="18" customHeight="1" x14ac:dyDescent="0.3">
      <c r="C569" s="19"/>
      <c r="D569" s="19"/>
      <c r="E569" s="19"/>
      <c r="F569" s="20"/>
      <c r="G569" s="20"/>
      <c r="H569" s="21"/>
      <c r="I569" s="22"/>
      <c r="J569" s="21"/>
      <c r="K569" s="19"/>
      <c r="L569" s="23"/>
      <c r="M569" s="23"/>
      <c r="O569" s="18"/>
    </row>
    <row r="570" spans="3:15" ht="18" customHeight="1" x14ac:dyDescent="0.3">
      <c r="C570" s="19"/>
      <c r="D570" s="19"/>
      <c r="E570" s="19"/>
      <c r="F570" s="20"/>
      <c r="G570" s="20"/>
      <c r="H570" s="21"/>
      <c r="I570" s="22"/>
      <c r="J570" s="21"/>
      <c r="K570" s="19"/>
      <c r="L570" s="23"/>
      <c r="M570" s="23"/>
      <c r="O570" s="18"/>
    </row>
    <row r="571" spans="3:15" ht="18" customHeight="1" x14ac:dyDescent="0.3">
      <c r="C571" s="19"/>
      <c r="D571" s="19"/>
      <c r="E571" s="19"/>
      <c r="F571" s="20"/>
      <c r="G571" s="20"/>
      <c r="H571" s="21"/>
      <c r="I571" s="22"/>
      <c r="J571" s="21"/>
      <c r="K571" s="19"/>
      <c r="L571" s="23"/>
      <c r="M571" s="23"/>
      <c r="O571" s="18"/>
    </row>
    <row r="572" spans="3:15" ht="18" customHeight="1" x14ac:dyDescent="0.3">
      <c r="C572" s="19"/>
      <c r="D572" s="19"/>
      <c r="E572" s="19"/>
      <c r="F572" s="20"/>
      <c r="G572" s="20"/>
      <c r="H572" s="21"/>
      <c r="I572" s="22"/>
      <c r="J572" s="21"/>
      <c r="K572" s="19"/>
      <c r="L572" s="23"/>
      <c r="M572" s="23"/>
      <c r="O572" s="18"/>
    </row>
    <row r="573" spans="3:15" ht="18" customHeight="1" x14ac:dyDescent="0.3">
      <c r="C573" s="19"/>
      <c r="D573" s="19"/>
      <c r="E573" s="19"/>
      <c r="F573" s="20"/>
      <c r="G573" s="20"/>
      <c r="H573" s="21"/>
      <c r="I573" s="22"/>
      <c r="J573" s="21"/>
      <c r="K573" s="19"/>
      <c r="L573" s="23"/>
      <c r="M573" s="23"/>
      <c r="O573" s="18"/>
    </row>
    <row r="574" spans="3:15" ht="18" customHeight="1" x14ac:dyDescent="0.3">
      <c r="C574" s="19"/>
      <c r="D574" s="19"/>
      <c r="E574" s="19"/>
      <c r="F574" s="20"/>
      <c r="G574" s="20"/>
      <c r="H574" s="21"/>
      <c r="I574" s="22"/>
      <c r="J574" s="21"/>
      <c r="K574" s="19"/>
      <c r="L574" s="23"/>
      <c r="M574" s="23"/>
      <c r="O574" s="18"/>
    </row>
    <row r="575" spans="3:15" ht="18" customHeight="1" x14ac:dyDescent="0.3">
      <c r="C575" s="19"/>
      <c r="D575" s="19"/>
      <c r="E575" s="19"/>
      <c r="F575" s="20"/>
      <c r="G575" s="20"/>
      <c r="H575" s="21"/>
      <c r="I575" s="22"/>
      <c r="J575" s="21"/>
      <c r="K575" s="19"/>
      <c r="L575" s="23"/>
      <c r="M575" s="23"/>
      <c r="O575" s="18"/>
    </row>
    <row r="576" spans="3:15" ht="18" customHeight="1" x14ac:dyDescent="0.3">
      <c r="C576" s="19"/>
      <c r="D576" s="19"/>
      <c r="E576" s="19"/>
      <c r="F576" s="20"/>
      <c r="G576" s="20"/>
      <c r="H576" s="21"/>
      <c r="I576" s="22"/>
      <c r="J576" s="21"/>
      <c r="K576" s="19"/>
      <c r="L576" s="23"/>
      <c r="M576" s="23"/>
      <c r="O576" s="18"/>
    </row>
    <row r="577" spans="3:15" ht="18" customHeight="1" x14ac:dyDescent="0.3">
      <c r="C577" s="19"/>
      <c r="D577" s="19"/>
      <c r="E577" s="19"/>
      <c r="F577" s="20"/>
      <c r="G577" s="20"/>
      <c r="H577" s="21"/>
      <c r="I577" s="22"/>
      <c r="J577" s="21"/>
      <c r="K577" s="19"/>
      <c r="L577" s="23"/>
      <c r="M577" s="23"/>
      <c r="O577" s="18"/>
    </row>
    <row r="578" spans="3:15" ht="18" customHeight="1" x14ac:dyDescent="0.3">
      <c r="C578" s="19"/>
      <c r="D578" s="19"/>
      <c r="E578" s="19"/>
      <c r="F578" s="20"/>
      <c r="G578" s="20"/>
      <c r="H578" s="21"/>
      <c r="I578" s="22"/>
      <c r="J578" s="21"/>
      <c r="K578" s="19"/>
      <c r="L578" s="23"/>
      <c r="M578" s="23"/>
      <c r="O578" s="18"/>
    </row>
    <row r="579" spans="3:15" ht="18" customHeight="1" x14ac:dyDescent="0.3">
      <c r="C579" s="19"/>
      <c r="D579" s="19"/>
      <c r="E579" s="19"/>
      <c r="F579" s="20"/>
      <c r="G579" s="20"/>
      <c r="H579" s="21"/>
      <c r="I579" s="22"/>
      <c r="J579" s="21"/>
      <c r="K579" s="19"/>
      <c r="L579" s="23"/>
      <c r="M579" s="23"/>
      <c r="O579" s="18"/>
    </row>
    <row r="580" spans="3:15" ht="18" customHeight="1" x14ac:dyDescent="0.3">
      <c r="C580" s="19"/>
      <c r="D580" s="19"/>
      <c r="E580" s="19"/>
      <c r="F580" s="20"/>
      <c r="G580" s="20"/>
      <c r="H580" s="21"/>
      <c r="I580" s="22"/>
      <c r="J580" s="21"/>
      <c r="K580" s="19"/>
      <c r="L580" s="23"/>
      <c r="M580" s="23"/>
      <c r="O580" s="18"/>
    </row>
    <row r="581" spans="3:15" ht="18" customHeight="1" x14ac:dyDescent="0.3">
      <c r="C581" s="19"/>
      <c r="D581" s="19"/>
      <c r="E581" s="19"/>
      <c r="F581" s="20"/>
      <c r="G581" s="20"/>
      <c r="H581" s="21"/>
      <c r="I581" s="22"/>
      <c r="J581" s="21"/>
      <c r="K581" s="19"/>
      <c r="L581" s="23"/>
      <c r="M581" s="23"/>
      <c r="O581" s="18"/>
    </row>
    <row r="582" spans="3:15" ht="18" customHeight="1" x14ac:dyDescent="0.3">
      <c r="C582" s="19"/>
      <c r="D582" s="19"/>
      <c r="E582" s="19"/>
      <c r="F582" s="20"/>
      <c r="G582" s="20"/>
      <c r="H582" s="21"/>
      <c r="I582" s="22"/>
      <c r="J582" s="21"/>
      <c r="K582" s="19"/>
      <c r="L582" s="23"/>
      <c r="M582" s="23"/>
      <c r="O582" s="18"/>
    </row>
    <row r="583" spans="3:15" ht="18" customHeight="1" x14ac:dyDescent="0.3">
      <c r="C583" s="19"/>
      <c r="D583" s="19"/>
      <c r="E583" s="19"/>
      <c r="F583" s="20"/>
      <c r="G583" s="20"/>
      <c r="H583" s="21"/>
      <c r="I583" s="22"/>
      <c r="J583" s="21"/>
      <c r="K583" s="19"/>
      <c r="L583" s="23"/>
      <c r="M583" s="23"/>
      <c r="O583" s="18"/>
    </row>
    <row r="584" spans="3:15" ht="18" customHeight="1" x14ac:dyDescent="0.3">
      <c r="C584" s="19"/>
      <c r="D584" s="19"/>
      <c r="E584" s="19"/>
      <c r="F584" s="20"/>
      <c r="G584" s="20"/>
      <c r="H584" s="21"/>
      <c r="I584" s="22"/>
      <c r="J584" s="21"/>
      <c r="K584" s="19"/>
      <c r="L584" s="23"/>
      <c r="M584" s="23"/>
      <c r="O584" s="18"/>
    </row>
    <row r="585" spans="3:15" ht="18" customHeight="1" x14ac:dyDescent="0.3">
      <c r="C585" s="19"/>
      <c r="D585" s="19"/>
      <c r="E585" s="19"/>
      <c r="F585" s="20"/>
      <c r="G585" s="20"/>
      <c r="H585" s="21"/>
      <c r="I585" s="22"/>
      <c r="J585" s="21"/>
      <c r="K585" s="19"/>
      <c r="L585" s="23"/>
      <c r="M585" s="23"/>
      <c r="O585" s="18"/>
    </row>
    <row r="586" spans="3:15" ht="18" customHeight="1" x14ac:dyDescent="0.3">
      <c r="C586" s="19"/>
      <c r="D586" s="19"/>
      <c r="E586" s="19"/>
      <c r="F586" s="20"/>
      <c r="G586" s="20"/>
      <c r="H586" s="21"/>
      <c r="I586" s="22"/>
      <c r="J586" s="21"/>
      <c r="K586" s="19"/>
      <c r="L586" s="23"/>
      <c r="M586" s="23"/>
      <c r="O586" s="18"/>
    </row>
    <row r="587" spans="3:15" ht="18" customHeight="1" x14ac:dyDescent="0.3">
      <c r="C587" s="19"/>
      <c r="D587" s="19"/>
      <c r="E587" s="19"/>
      <c r="F587" s="20"/>
      <c r="G587" s="20"/>
      <c r="H587" s="21"/>
      <c r="I587" s="22"/>
      <c r="J587" s="21"/>
      <c r="K587" s="19"/>
      <c r="L587" s="23"/>
      <c r="M587" s="23"/>
      <c r="O587" s="18"/>
    </row>
    <row r="588" spans="3:15" ht="18" customHeight="1" x14ac:dyDescent="0.3">
      <c r="C588" s="19"/>
      <c r="D588" s="19"/>
      <c r="E588" s="19"/>
      <c r="F588" s="20"/>
      <c r="G588" s="20"/>
      <c r="H588" s="21"/>
      <c r="I588" s="22"/>
      <c r="J588" s="21"/>
      <c r="K588" s="19"/>
      <c r="L588" s="23"/>
      <c r="M588" s="23"/>
      <c r="O588" s="18"/>
    </row>
    <row r="589" spans="3:15" ht="18" customHeight="1" x14ac:dyDescent="0.3">
      <c r="C589" s="19"/>
      <c r="D589" s="19"/>
      <c r="E589" s="19"/>
      <c r="F589" s="20"/>
      <c r="G589" s="20"/>
      <c r="H589" s="21"/>
      <c r="I589" s="22"/>
      <c r="J589" s="21"/>
      <c r="K589" s="19"/>
      <c r="L589" s="23"/>
      <c r="M589" s="23"/>
      <c r="O589" s="18"/>
    </row>
    <row r="590" spans="3:15" ht="18" customHeight="1" x14ac:dyDescent="0.3">
      <c r="C590" s="19"/>
      <c r="D590" s="19"/>
      <c r="E590" s="19"/>
      <c r="F590" s="20"/>
      <c r="G590" s="20"/>
      <c r="H590" s="21"/>
      <c r="I590" s="22"/>
      <c r="J590" s="21"/>
      <c r="K590" s="19"/>
      <c r="L590" s="23"/>
      <c r="M590" s="23"/>
      <c r="O590" s="18"/>
    </row>
    <row r="591" spans="3:15" ht="18" customHeight="1" x14ac:dyDescent="0.3">
      <c r="C591" s="19"/>
      <c r="D591" s="19"/>
      <c r="E591" s="19"/>
      <c r="F591" s="20"/>
      <c r="G591" s="20"/>
      <c r="H591" s="21"/>
      <c r="I591" s="22"/>
      <c r="J591" s="21"/>
      <c r="K591" s="19"/>
      <c r="L591" s="23"/>
      <c r="M591" s="23"/>
      <c r="O591" s="18"/>
    </row>
    <row r="592" spans="3:15" ht="18" customHeight="1" x14ac:dyDescent="0.3">
      <c r="C592" s="19"/>
      <c r="D592" s="19"/>
      <c r="E592" s="19"/>
      <c r="F592" s="20"/>
      <c r="G592" s="20"/>
      <c r="H592" s="21"/>
      <c r="I592" s="22"/>
      <c r="J592" s="21"/>
      <c r="K592" s="19"/>
      <c r="L592" s="23"/>
      <c r="M592" s="23"/>
      <c r="O592" s="18"/>
    </row>
    <row r="593" spans="3:15" ht="18" customHeight="1" x14ac:dyDescent="0.3">
      <c r="C593" s="19"/>
      <c r="D593" s="19"/>
      <c r="E593" s="19"/>
      <c r="F593" s="20"/>
      <c r="G593" s="20"/>
      <c r="H593" s="21"/>
      <c r="I593" s="22"/>
      <c r="J593" s="21"/>
      <c r="K593" s="19"/>
      <c r="L593" s="23"/>
      <c r="M593" s="23"/>
      <c r="O593" s="18"/>
    </row>
    <row r="594" spans="3:15" ht="18" customHeight="1" x14ac:dyDescent="0.3">
      <c r="C594" s="19"/>
      <c r="D594" s="19"/>
      <c r="E594" s="19"/>
      <c r="F594" s="20"/>
      <c r="G594" s="20"/>
      <c r="H594" s="21"/>
      <c r="I594" s="22"/>
      <c r="J594" s="21"/>
      <c r="K594" s="19"/>
      <c r="L594" s="23"/>
      <c r="M594" s="23"/>
      <c r="O594" s="18"/>
    </row>
    <row r="595" spans="3:15" ht="18" customHeight="1" x14ac:dyDescent="0.3">
      <c r="C595" s="19"/>
      <c r="D595" s="19"/>
      <c r="E595" s="19"/>
      <c r="F595" s="20"/>
      <c r="G595" s="20"/>
      <c r="H595" s="21"/>
      <c r="I595" s="22"/>
      <c r="J595" s="21"/>
      <c r="K595" s="19"/>
      <c r="L595" s="23"/>
      <c r="M595" s="23"/>
      <c r="O595" s="18"/>
    </row>
    <row r="596" spans="3:15" ht="18" customHeight="1" x14ac:dyDescent="0.3">
      <c r="C596" s="19"/>
      <c r="D596" s="19"/>
      <c r="E596" s="19"/>
      <c r="F596" s="20"/>
      <c r="G596" s="20"/>
      <c r="H596" s="21"/>
      <c r="I596" s="22"/>
      <c r="J596" s="21"/>
      <c r="K596" s="19"/>
      <c r="L596" s="23"/>
      <c r="M596" s="23"/>
      <c r="O596" s="18"/>
    </row>
    <row r="597" spans="3:15" ht="18" customHeight="1" x14ac:dyDescent="0.3">
      <c r="C597" s="19"/>
      <c r="D597" s="19"/>
      <c r="E597" s="19"/>
      <c r="F597" s="20"/>
      <c r="G597" s="20"/>
      <c r="H597" s="21"/>
      <c r="I597" s="22"/>
      <c r="J597" s="21"/>
      <c r="K597" s="19"/>
      <c r="L597" s="23"/>
      <c r="M597" s="23"/>
      <c r="O597" s="18"/>
    </row>
    <row r="598" spans="3:15" ht="18" customHeight="1" x14ac:dyDescent="0.3">
      <c r="C598" s="19"/>
      <c r="D598" s="19"/>
      <c r="E598" s="19"/>
      <c r="F598" s="20"/>
      <c r="G598" s="20"/>
      <c r="H598" s="21"/>
      <c r="I598" s="22"/>
      <c r="J598" s="21"/>
      <c r="K598" s="19"/>
      <c r="L598" s="23"/>
      <c r="M598" s="23"/>
      <c r="O598" s="18"/>
    </row>
    <row r="599" spans="3:15" ht="18" customHeight="1" x14ac:dyDescent="0.3">
      <c r="C599" s="19"/>
      <c r="D599" s="19"/>
      <c r="E599" s="19"/>
      <c r="F599" s="20"/>
      <c r="G599" s="20"/>
      <c r="H599" s="21"/>
      <c r="I599" s="22"/>
      <c r="J599" s="21"/>
      <c r="K599" s="19"/>
      <c r="L599" s="23"/>
      <c r="M599" s="23"/>
      <c r="O599" s="18"/>
    </row>
    <row r="600" spans="3:15" ht="18" customHeight="1" x14ac:dyDescent="0.3">
      <c r="C600" s="19"/>
      <c r="D600" s="19"/>
      <c r="E600" s="19"/>
      <c r="F600" s="20"/>
      <c r="G600" s="20"/>
      <c r="H600" s="21"/>
      <c r="I600" s="22"/>
      <c r="J600" s="21"/>
      <c r="K600" s="19"/>
      <c r="L600" s="23"/>
      <c r="M600" s="23"/>
      <c r="O600" s="18"/>
    </row>
    <row r="601" spans="3:15" ht="18" customHeight="1" x14ac:dyDescent="0.3">
      <c r="C601" s="19"/>
      <c r="D601" s="19"/>
      <c r="E601" s="19"/>
      <c r="F601" s="20"/>
      <c r="G601" s="20"/>
      <c r="H601" s="21"/>
      <c r="I601" s="22"/>
      <c r="J601" s="21"/>
      <c r="K601" s="19"/>
      <c r="L601" s="23"/>
      <c r="M601" s="23"/>
      <c r="O601" s="18"/>
    </row>
    <row r="602" spans="3:15" ht="18" customHeight="1" x14ac:dyDescent="0.3">
      <c r="C602" s="19"/>
      <c r="D602" s="19"/>
      <c r="E602" s="19"/>
      <c r="F602" s="20"/>
      <c r="G602" s="20"/>
      <c r="H602" s="21"/>
      <c r="I602" s="22"/>
      <c r="J602" s="21"/>
      <c r="K602" s="19"/>
      <c r="L602" s="23"/>
      <c r="M602" s="23"/>
      <c r="O602" s="18"/>
    </row>
    <row r="603" spans="3:15" ht="18" customHeight="1" x14ac:dyDescent="0.3">
      <c r="C603" s="19"/>
      <c r="D603" s="19"/>
      <c r="E603" s="19"/>
      <c r="F603" s="20"/>
      <c r="G603" s="20"/>
      <c r="H603" s="21"/>
      <c r="I603" s="22"/>
      <c r="J603" s="21"/>
      <c r="K603" s="19"/>
      <c r="L603" s="23"/>
      <c r="M603" s="23"/>
      <c r="O603" s="18"/>
    </row>
    <row r="604" spans="3:15" ht="18" customHeight="1" x14ac:dyDescent="0.3">
      <c r="C604" s="19"/>
      <c r="D604" s="19"/>
      <c r="E604" s="19"/>
      <c r="F604" s="20"/>
      <c r="G604" s="20"/>
      <c r="H604" s="21"/>
      <c r="I604" s="22"/>
      <c r="J604" s="21"/>
      <c r="K604" s="19"/>
      <c r="L604" s="23"/>
      <c r="M604" s="23"/>
      <c r="O604" s="18"/>
    </row>
    <row r="605" spans="3:15" ht="18" customHeight="1" x14ac:dyDescent="0.3">
      <c r="C605" s="19"/>
      <c r="D605" s="19"/>
      <c r="E605" s="19"/>
      <c r="F605" s="20"/>
      <c r="G605" s="20"/>
      <c r="H605" s="21"/>
      <c r="I605" s="22"/>
      <c r="J605" s="21"/>
      <c r="K605" s="19"/>
      <c r="L605" s="23"/>
      <c r="M605" s="23"/>
      <c r="O605" s="18"/>
    </row>
    <row r="606" spans="3:15" ht="18" customHeight="1" x14ac:dyDescent="0.3">
      <c r="C606" s="19"/>
      <c r="D606" s="19"/>
      <c r="E606" s="19"/>
      <c r="F606" s="20"/>
      <c r="G606" s="20"/>
      <c r="H606" s="21"/>
      <c r="I606" s="22"/>
      <c r="J606" s="21"/>
      <c r="K606" s="19"/>
      <c r="L606" s="23"/>
      <c r="M606" s="23"/>
      <c r="O606" s="18"/>
    </row>
    <row r="607" spans="3:15" ht="18" customHeight="1" x14ac:dyDescent="0.3">
      <c r="C607" s="19"/>
      <c r="D607" s="19"/>
      <c r="E607" s="19"/>
      <c r="F607" s="20"/>
      <c r="G607" s="20"/>
      <c r="H607" s="21"/>
      <c r="I607" s="22"/>
      <c r="J607" s="21"/>
      <c r="K607" s="19"/>
      <c r="L607" s="23"/>
      <c r="M607" s="23"/>
      <c r="O607" s="18"/>
    </row>
    <row r="608" spans="3:15" ht="18" customHeight="1" x14ac:dyDescent="0.3">
      <c r="C608" s="19"/>
      <c r="D608" s="19"/>
      <c r="E608" s="19"/>
      <c r="F608" s="20"/>
      <c r="G608" s="20"/>
      <c r="H608" s="21"/>
      <c r="I608" s="22"/>
      <c r="J608" s="21"/>
      <c r="K608" s="19"/>
      <c r="L608" s="23"/>
      <c r="M608" s="23"/>
      <c r="O608" s="18"/>
    </row>
    <row r="609" spans="3:15" ht="18" customHeight="1" x14ac:dyDescent="0.3">
      <c r="C609" s="19"/>
      <c r="D609" s="19"/>
      <c r="E609" s="19"/>
      <c r="F609" s="20"/>
      <c r="G609" s="20"/>
      <c r="H609" s="21"/>
      <c r="I609" s="22"/>
      <c r="J609" s="21"/>
      <c r="K609" s="19"/>
      <c r="L609" s="23"/>
      <c r="M609" s="23"/>
      <c r="O609" s="18"/>
    </row>
    <row r="610" spans="3:15" ht="18" customHeight="1" x14ac:dyDescent="0.3">
      <c r="C610" s="19"/>
      <c r="D610" s="19"/>
      <c r="E610" s="19"/>
      <c r="F610" s="20"/>
      <c r="G610" s="20"/>
      <c r="H610" s="21"/>
      <c r="I610" s="22"/>
      <c r="J610" s="21"/>
      <c r="K610" s="19"/>
      <c r="L610" s="23"/>
      <c r="M610" s="23"/>
      <c r="O610" s="18"/>
    </row>
    <row r="611" spans="3:15" ht="18" customHeight="1" x14ac:dyDescent="0.3">
      <c r="C611" s="19"/>
      <c r="D611" s="19"/>
      <c r="E611" s="19"/>
      <c r="F611" s="20"/>
      <c r="G611" s="20"/>
      <c r="H611" s="21"/>
      <c r="I611" s="22"/>
      <c r="J611" s="21"/>
      <c r="K611" s="19"/>
      <c r="L611" s="23"/>
      <c r="M611" s="23"/>
      <c r="O611" s="18"/>
    </row>
    <row r="612" spans="3:15" ht="18" customHeight="1" x14ac:dyDescent="0.3">
      <c r="C612" s="19"/>
      <c r="D612" s="19"/>
      <c r="E612" s="19"/>
      <c r="F612" s="20"/>
      <c r="G612" s="20"/>
      <c r="H612" s="21"/>
      <c r="I612" s="22"/>
      <c r="J612" s="21"/>
      <c r="K612" s="19"/>
      <c r="L612" s="23"/>
      <c r="M612" s="23"/>
      <c r="O612" s="18"/>
    </row>
    <row r="613" spans="3:15" ht="18" customHeight="1" x14ac:dyDescent="0.3">
      <c r="C613" s="19"/>
      <c r="D613" s="19"/>
      <c r="E613" s="19"/>
      <c r="F613" s="20"/>
      <c r="G613" s="20"/>
      <c r="H613" s="21"/>
      <c r="I613" s="22"/>
      <c r="J613" s="21"/>
      <c r="K613" s="19"/>
      <c r="L613" s="23"/>
      <c r="M613" s="23"/>
      <c r="O613" s="18"/>
    </row>
    <row r="614" spans="3:15" ht="18" customHeight="1" x14ac:dyDescent="0.3">
      <c r="C614" s="19"/>
      <c r="D614" s="19"/>
      <c r="E614" s="19"/>
      <c r="F614" s="20"/>
      <c r="G614" s="20"/>
      <c r="H614" s="21"/>
      <c r="I614" s="22"/>
      <c r="J614" s="21"/>
      <c r="K614" s="19"/>
      <c r="L614" s="23"/>
      <c r="M614" s="23"/>
      <c r="O614" s="18"/>
    </row>
    <row r="615" spans="3:15" ht="18" customHeight="1" x14ac:dyDescent="0.3">
      <c r="C615" s="19"/>
      <c r="D615" s="19"/>
      <c r="E615" s="19"/>
      <c r="F615" s="20"/>
      <c r="G615" s="20"/>
      <c r="H615" s="21"/>
      <c r="I615" s="22"/>
      <c r="J615" s="21"/>
      <c r="K615" s="19"/>
      <c r="L615" s="23"/>
      <c r="M615" s="23"/>
      <c r="O615" s="18"/>
    </row>
    <row r="616" spans="3:15" ht="18" customHeight="1" x14ac:dyDescent="0.3">
      <c r="C616" s="19"/>
      <c r="D616" s="19"/>
      <c r="E616" s="19"/>
      <c r="F616" s="20"/>
      <c r="G616" s="20"/>
      <c r="H616" s="21"/>
      <c r="I616" s="22"/>
      <c r="J616" s="21"/>
      <c r="K616" s="19"/>
      <c r="L616" s="23"/>
      <c r="M616" s="23"/>
      <c r="O616" s="18"/>
    </row>
    <row r="617" spans="3:15" ht="18" customHeight="1" x14ac:dyDescent="0.3">
      <c r="C617" s="19"/>
      <c r="D617" s="19"/>
      <c r="E617" s="19"/>
      <c r="F617" s="20"/>
      <c r="G617" s="20"/>
      <c r="H617" s="21"/>
      <c r="I617" s="22"/>
      <c r="J617" s="21"/>
      <c r="K617" s="19"/>
      <c r="L617" s="23"/>
      <c r="M617" s="23"/>
      <c r="O617" s="18"/>
    </row>
    <row r="618" spans="3:15" ht="18" customHeight="1" x14ac:dyDescent="0.3">
      <c r="C618" s="19"/>
      <c r="D618" s="19"/>
      <c r="E618" s="19"/>
      <c r="F618" s="20"/>
      <c r="G618" s="20"/>
      <c r="H618" s="21"/>
      <c r="I618" s="22"/>
      <c r="J618" s="21"/>
      <c r="K618" s="19"/>
      <c r="L618" s="23"/>
      <c r="M618" s="23"/>
      <c r="O618" s="18"/>
    </row>
    <row r="619" spans="3:15" ht="18" customHeight="1" x14ac:dyDescent="0.3">
      <c r="C619" s="19"/>
      <c r="D619" s="19"/>
      <c r="E619" s="19"/>
      <c r="F619" s="20"/>
      <c r="G619" s="20"/>
      <c r="H619" s="21"/>
      <c r="I619" s="22"/>
      <c r="J619" s="21"/>
      <c r="K619" s="19"/>
      <c r="L619" s="23"/>
      <c r="M619" s="23"/>
      <c r="O619" s="18"/>
    </row>
    <row r="620" spans="3:15" ht="18" customHeight="1" x14ac:dyDescent="0.3">
      <c r="C620" s="19"/>
      <c r="D620" s="19"/>
      <c r="E620" s="19"/>
      <c r="F620" s="20"/>
      <c r="G620" s="20"/>
      <c r="H620" s="21"/>
      <c r="I620" s="22"/>
      <c r="J620" s="21"/>
      <c r="K620" s="19"/>
      <c r="L620" s="23"/>
      <c r="M620" s="23"/>
      <c r="O620" s="18"/>
    </row>
    <row r="621" spans="3:15" ht="18" customHeight="1" x14ac:dyDescent="0.3">
      <c r="C621" s="19"/>
      <c r="D621" s="19"/>
      <c r="E621" s="19"/>
      <c r="F621" s="20"/>
      <c r="G621" s="20"/>
      <c r="H621" s="21"/>
      <c r="I621" s="22"/>
      <c r="J621" s="21"/>
      <c r="K621" s="19"/>
      <c r="L621" s="23"/>
      <c r="M621" s="23"/>
      <c r="O621" s="18"/>
    </row>
    <row r="622" spans="3:15" ht="18" customHeight="1" x14ac:dyDescent="0.3">
      <c r="C622" s="19"/>
      <c r="D622" s="19"/>
      <c r="E622" s="19"/>
      <c r="F622" s="20"/>
      <c r="G622" s="20"/>
      <c r="H622" s="21"/>
      <c r="I622" s="22"/>
      <c r="J622" s="21"/>
      <c r="K622" s="19"/>
      <c r="L622" s="23"/>
      <c r="M622" s="23"/>
      <c r="O622" s="18"/>
    </row>
    <row r="623" spans="3:15" ht="18" customHeight="1" x14ac:dyDescent="0.3">
      <c r="C623" s="19"/>
      <c r="D623" s="19"/>
      <c r="E623" s="19"/>
      <c r="F623" s="20"/>
      <c r="G623" s="20"/>
      <c r="H623" s="21"/>
      <c r="I623" s="22"/>
      <c r="J623" s="21"/>
      <c r="K623" s="19"/>
      <c r="L623" s="23"/>
      <c r="M623" s="23"/>
      <c r="O623" s="18"/>
    </row>
    <row r="624" spans="3:15" ht="18" customHeight="1" x14ac:dyDescent="0.3">
      <c r="C624" s="19"/>
      <c r="D624" s="19"/>
      <c r="E624" s="19"/>
      <c r="F624" s="20"/>
      <c r="G624" s="20"/>
      <c r="H624" s="21"/>
      <c r="I624" s="22"/>
      <c r="J624" s="21"/>
      <c r="K624" s="19"/>
      <c r="L624" s="23"/>
      <c r="M624" s="23"/>
      <c r="O624" s="18"/>
    </row>
    <row r="625" spans="3:15" ht="18" customHeight="1" x14ac:dyDescent="0.3">
      <c r="C625" s="19"/>
      <c r="D625" s="19"/>
      <c r="E625" s="19"/>
      <c r="F625" s="20"/>
      <c r="G625" s="20"/>
      <c r="H625" s="21"/>
      <c r="I625" s="22"/>
      <c r="J625" s="21"/>
      <c r="K625" s="19"/>
      <c r="L625" s="23"/>
      <c r="M625" s="23"/>
      <c r="O625" s="18"/>
    </row>
    <row r="626" spans="3:15" ht="18" customHeight="1" x14ac:dyDescent="0.3">
      <c r="C626" s="19"/>
      <c r="D626" s="19"/>
      <c r="E626" s="19"/>
      <c r="F626" s="20"/>
      <c r="G626" s="20"/>
      <c r="H626" s="21"/>
      <c r="I626" s="22"/>
      <c r="J626" s="21"/>
      <c r="K626" s="19"/>
      <c r="L626" s="23"/>
      <c r="M626" s="23"/>
      <c r="O626" s="18"/>
    </row>
    <row r="627" spans="3:15" ht="18" customHeight="1" x14ac:dyDescent="0.3">
      <c r="C627" s="19"/>
      <c r="D627" s="19"/>
      <c r="E627" s="19"/>
      <c r="F627" s="20"/>
      <c r="G627" s="20"/>
      <c r="H627" s="21"/>
      <c r="I627" s="22"/>
      <c r="J627" s="21"/>
      <c r="K627" s="19"/>
      <c r="L627" s="23"/>
      <c r="M627" s="23"/>
      <c r="O627" s="18"/>
    </row>
    <row r="628" spans="3:15" ht="18" customHeight="1" x14ac:dyDescent="0.3">
      <c r="C628" s="19"/>
      <c r="D628" s="19"/>
      <c r="E628" s="19"/>
      <c r="F628" s="20"/>
      <c r="G628" s="20"/>
      <c r="H628" s="21"/>
      <c r="I628" s="22"/>
      <c r="J628" s="21"/>
      <c r="K628" s="19"/>
      <c r="L628" s="23"/>
      <c r="M628" s="23"/>
      <c r="O628" s="18"/>
    </row>
    <row r="629" spans="3:15" ht="18" customHeight="1" x14ac:dyDescent="0.3">
      <c r="C629" s="19"/>
      <c r="D629" s="19"/>
      <c r="E629" s="19"/>
      <c r="F629" s="20"/>
      <c r="G629" s="20"/>
      <c r="H629" s="21"/>
      <c r="I629" s="22"/>
      <c r="J629" s="21"/>
      <c r="K629" s="19"/>
      <c r="L629" s="23"/>
      <c r="M629" s="23"/>
      <c r="O629" s="18"/>
    </row>
    <row r="630" spans="3:15" ht="18" customHeight="1" x14ac:dyDescent="0.3">
      <c r="C630" s="19"/>
      <c r="D630" s="19"/>
      <c r="E630" s="19"/>
      <c r="F630" s="20"/>
      <c r="G630" s="20"/>
      <c r="H630" s="21"/>
      <c r="I630" s="22"/>
      <c r="J630" s="21"/>
      <c r="K630" s="19"/>
      <c r="L630" s="23"/>
      <c r="M630" s="23"/>
      <c r="O630" s="18"/>
    </row>
    <row r="631" spans="3:15" ht="18" customHeight="1" x14ac:dyDescent="0.3">
      <c r="C631" s="19"/>
      <c r="D631" s="19"/>
      <c r="E631" s="19"/>
      <c r="F631" s="20"/>
      <c r="G631" s="20"/>
      <c r="H631" s="21"/>
      <c r="I631" s="22"/>
      <c r="J631" s="21"/>
      <c r="K631" s="19"/>
      <c r="L631" s="23"/>
      <c r="M631" s="23"/>
      <c r="O631" s="18"/>
    </row>
    <row r="632" spans="3:15" ht="18" customHeight="1" x14ac:dyDescent="0.3">
      <c r="C632" s="19"/>
      <c r="D632" s="19"/>
      <c r="E632" s="19"/>
      <c r="F632" s="20"/>
      <c r="G632" s="20"/>
      <c r="H632" s="21"/>
      <c r="I632" s="22"/>
      <c r="J632" s="21"/>
      <c r="K632" s="19"/>
      <c r="L632" s="23"/>
      <c r="M632" s="23"/>
      <c r="O632" s="18"/>
    </row>
    <row r="633" spans="3:15" ht="18" customHeight="1" x14ac:dyDescent="0.3">
      <c r="C633" s="19"/>
      <c r="D633" s="19"/>
      <c r="E633" s="19"/>
      <c r="F633" s="20"/>
      <c r="G633" s="20"/>
      <c r="H633" s="21"/>
      <c r="I633" s="22"/>
      <c r="J633" s="21"/>
      <c r="K633" s="19"/>
      <c r="L633" s="23"/>
      <c r="M633" s="23"/>
      <c r="O633" s="18"/>
    </row>
    <row r="634" spans="3:15" ht="18" customHeight="1" x14ac:dyDescent="0.3">
      <c r="C634" s="19"/>
      <c r="D634" s="19"/>
      <c r="E634" s="19"/>
      <c r="F634" s="20"/>
      <c r="G634" s="20"/>
      <c r="H634" s="21"/>
      <c r="I634" s="22"/>
      <c r="J634" s="21"/>
      <c r="K634" s="19"/>
      <c r="L634" s="23"/>
      <c r="M634" s="23"/>
      <c r="O634" s="18"/>
    </row>
    <row r="635" spans="3:15" ht="18" customHeight="1" x14ac:dyDescent="0.3">
      <c r="C635" s="19"/>
      <c r="D635" s="19"/>
      <c r="E635" s="19"/>
      <c r="F635" s="20"/>
      <c r="G635" s="20"/>
      <c r="H635" s="21"/>
      <c r="I635" s="22"/>
      <c r="J635" s="21"/>
      <c r="K635" s="19"/>
      <c r="L635" s="23"/>
      <c r="M635" s="23"/>
      <c r="O635" s="18"/>
    </row>
    <row r="636" spans="3:15" ht="18" customHeight="1" x14ac:dyDescent="0.3">
      <c r="C636" s="19"/>
      <c r="D636" s="19"/>
      <c r="E636" s="19"/>
      <c r="F636" s="20"/>
      <c r="G636" s="20"/>
      <c r="H636" s="21"/>
      <c r="I636" s="22"/>
      <c r="J636" s="21"/>
      <c r="K636" s="19"/>
      <c r="L636" s="23"/>
      <c r="M636" s="23"/>
      <c r="O636" s="18"/>
    </row>
    <row r="637" spans="3:15" ht="18" customHeight="1" x14ac:dyDescent="0.3">
      <c r="C637" s="19"/>
      <c r="D637" s="19"/>
      <c r="E637" s="19"/>
      <c r="F637" s="20"/>
      <c r="G637" s="20"/>
      <c r="H637" s="21"/>
      <c r="I637" s="22"/>
      <c r="J637" s="21"/>
      <c r="K637" s="19"/>
      <c r="L637" s="23"/>
      <c r="M637" s="23"/>
      <c r="O637" s="18"/>
    </row>
    <row r="638" spans="3:15" ht="18" customHeight="1" x14ac:dyDescent="0.3">
      <c r="C638" s="19"/>
      <c r="D638" s="19"/>
      <c r="E638" s="19"/>
      <c r="F638" s="20"/>
      <c r="G638" s="20"/>
      <c r="H638" s="21"/>
      <c r="I638" s="22"/>
      <c r="J638" s="21"/>
      <c r="K638" s="19"/>
      <c r="L638" s="23"/>
      <c r="M638" s="23"/>
      <c r="O638" s="18"/>
    </row>
    <row r="639" spans="3:15" ht="18" customHeight="1" x14ac:dyDescent="0.3">
      <c r="C639" s="19"/>
      <c r="D639" s="19"/>
      <c r="E639" s="19"/>
      <c r="F639" s="20"/>
      <c r="G639" s="20"/>
      <c r="H639" s="21"/>
      <c r="I639" s="22"/>
      <c r="J639" s="21"/>
      <c r="K639" s="19"/>
      <c r="L639" s="23"/>
      <c r="M639" s="23"/>
      <c r="O639" s="18"/>
    </row>
    <row r="640" spans="3:15" ht="18" customHeight="1" x14ac:dyDescent="0.3">
      <c r="C640" s="19"/>
      <c r="D640" s="19"/>
      <c r="E640" s="19"/>
      <c r="F640" s="20"/>
      <c r="G640" s="20"/>
      <c r="H640" s="21"/>
      <c r="I640" s="22"/>
      <c r="J640" s="21"/>
      <c r="K640" s="19"/>
      <c r="L640" s="23"/>
      <c r="M640" s="23"/>
      <c r="O640" s="18"/>
    </row>
    <row r="641" spans="3:15" ht="18" customHeight="1" x14ac:dyDescent="0.3">
      <c r="C641" s="19"/>
      <c r="D641" s="19"/>
      <c r="E641" s="19"/>
      <c r="F641" s="20"/>
      <c r="G641" s="20"/>
      <c r="H641" s="21"/>
      <c r="I641" s="22"/>
      <c r="J641" s="21"/>
      <c r="K641" s="19"/>
      <c r="L641" s="23"/>
      <c r="M641" s="23"/>
      <c r="O641" s="18"/>
    </row>
    <row r="642" spans="3:15" ht="18" customHeight="1" x14ac:dyDescent="0.3">
      <c r="C642" s="19"/>
      <c r="D642" s="19"/>
      <c r="E642" s="19"/>
      <c r="F642" s="20"/>
      <c r="G642" s="20"/>
      <c r="H642" s="21"/>
      <c r="I642" s="22"/>
      <c r="J642" s="21"/>
      <c r="K642" s="19"/>
      <c r="L642" s="23"/>
      <c r="M642" s="23"/>
      <c r="O642" s="18"/>
    </row>
    <row r="643" spans="3:15" ht="18" customHeight="1" x14ac:dyDescent="0.3">
      <c r="C643" s="19"/>
      <c r="D643" s="19"/>
      <c r="E643" s="19"/>
      <c r="F643" s="20"/>
      <c r="G643" s="20"/>
      <c r="H643" s="21"/>
      <c r="I643" s="22"/>
      <c r="J643" s="21"/>
      <c r="K643" s="19"/>
      <c r="L643" s="23"/>
      <c r="M643" s="23"/>
      <c r="O643" s="18"/>
    </row>
    <row r="644" spans="3:15" ht="18" customHeight="1" x14ac:dyDescent="0.3">
      <c r="C644" s="19"/>
      <c r="D644" s="19"/>
      <c r="E644" s="19"/>
      <c r="F644" s="20"/>
      <c r="G644" s="20"/>
      <c r="H644" s="21"/>
      <c r="I644" s="22"/>
      <c r="J644" s="21"/>
      <c r="K644" s="19"/>
      <c r="L644" s="23"/>
      <c r="M644" s="23"/>
      <c r="O644" s="18"/>
    </row>
    <row r="645" spans="3:15" ht="18" customHeight="1" x14ac:dyDescent="0.3">
      <c r="C645" s="19"/>
      <c r="D645" s="19"/>
      <c r="E645" s="19"/>
      <c r="F645" s="20"/>
      <c r="G645" s="20"/>
      <c r="H645" s="21"/>
      <c r="I645" s="22"/>
      <c r="J645" s="21"/>
      <c r="K645" s="19"/>
      <c r="L645" s="23"/>
      <c r="M645" s="23"/>
      <c r="O645" s="18"/>
    </row>
    <row r="646" spans="3:15" ht="18" customHeight="1" x14ac:dyDescent="0.3">
      <c r="C646" s="19"/>
      <c r="D646" s="19"/>
      <c r="E646" s="19"/>
      <c r="F646" s="20"/>
      <c r="G646" s="20"/>
      <c r="H646" s="21"/>
      <c r="I646" s="22"/>
      <c r="J646" s="21"/>
      <c r="K646" s="19"/>
      <c r="L646" s="23"/>
      <c r="M646" s="23"/>
      <c r="O646" s="18"/>
    </row>
    <row r="647" spans="3:15" ht="18" customHeight="1" x14ac:dyDescent="0.3">
      <c r="C647" s="19"/>
      <c r="D647" s="19"/>
      <c r="E647" s="19"/>
      <c r="F647" s="20"/>
      <c r="G647" s="20"/>
      <c r="H647" s="21"/>
      <c r="I647" s="22"/>
      <c r="J647" s="21"/>
      <c r="K647" s="19"/>
      <c r="L647" s="23"/>
      <c r="M647" s="23"/>
      <c r="O647" s="18"/>
    </row>
    <row r="648" spans="3:15" ht="18" customHeight="1" x14ac:dyDescent="0.3">
      <c r="C648" s="19"/>
      <c r="D648" s="19"/>
      <c r="E648" s="19"/>
      <c r="F648" s="20"/>
      <c r="G648" s="20"/>
      <c r="H648" s="21"/>
      <c r="I648" s="22"/>
      <c r="J648" s="21"/>
      <c r="K648" s="19"/>
      <c r="L648" s="23"/>
      <c r="M648" s="23"/>
      <c r="O648" s="18"/>
    </row>
    <row r="649" spans="3:15" ht="18" customHeight="1" x14ac:dyDescent="0.3">
      <c r="C649" s="19"/>
      <c r="D649" s="19"/>
      <c r="E649" s="19"/>
      <c r="F649" s="20"/>
      <c r="G649" s="20"/>
      <c r="H649" s="21"/>
      <c r="I649" s="22"/>
      <c r="J649" s="21"/>
      <c r="K649" s="19"/>
      <c r="L649" s="23"/>
      <c r="M649" s="23"/>
      <c r="O649" s="18"/>
    </row>
    <row r="650" spans="3:15" ht="18" customHeight="1" x14ac:dyDescent="0.3">
      <c r="C650" s="19"/>
      <c r="D650" s="19"/>
      <c r="E650" s="19"/>
      <c r="F650" s="20"/>
      <c r="G650" s="20"/>
      <c r="H650" s="21"/>
      <c r="I650" s="22"/>
      <c r="J650" s="21"/>
      <c r="K650" s="19"/>
      <c r="L650" s="23"/>
      <c r="M650" s="23"/>
      <c r="O650" s="18"/>
    </row>
    <row r="651" spans="3:15" ht="18" customHeight="1" x14ac:dyDescent="0.3">
      <c r="C651" s="19"/>
      <c r="D651" s="19"/>
      <c r="E651" s="19"/>
      <c r="F651" s="20"/>
      <c r="G651" s="20"/>
      <c r="H651" s="21"/>
      <c r="I651" s="22"/>
      <c r="J651" s="21"/>
      <c r="K651" s="19"/>
      <c r="L651" s="23"/>
      <c r="M651" s="23"/>
      <c r="O651" s="18"/>
    </row>
    <row r="652" spans="3:15" ht="18" customHeight="1" x14ac:dyDescent="0.3">
      <c r="C652" s="19"/>
      <c r="D652" s="19"/>
      <c r="E652" s="19"/>
      <c r="F652" s="20"/>
      <c r="G652" s="20"/>
      <c r="H652" s="21"/>
      <c r="I652" s="22"/>
      <c r="J652" s="21"/>
      <c r="K652" s="19"/>
      <c r="L652" s="23"/>
      <c r="M652" s="23"/>
      <c r="O652" s="18"/>
    </row>
    <row r="653" spans="3:15" ht="18" customHeight="1" x14ac:dyDescent="0.3">
      <c r="C653" s="19"/>
      <c r="D653" s="19"/>
      <c r="E653" s="19"/>
      <c r="F653" s="20"/>
      <c r="G653" s="20"/>
      <c r="H653" s="21"/>
      <c r="I653" s="22"/>
      <c r="J653" s="21"/>
      <c r="K653" s="19"/>
      <c r="L653" s="23"/>
      <c r="M653" s="23"/>
      <c r="O653" s="18"/>
    </row>
    <row r="654" spans="3:15" ht="18" customHeight="1" x14ac:dyDescent="0.3">
      <c r="C654" s="19"/>
      <c r="D654" s="19"/>
      <c r="E654" s="19"/>
      <c r="F654" s="20"/>
      <c r="G654" s="20"/>
      <c r="H654" s="21"/>
      <c r="I654" s="22"/>
      <c r="J654" s="21"/>
      <c r="K654" s="19"/>
      <c r="L654" s="23"/>
      <c r="M654" s="23"/>
      <c r="O654" s="18"/>
    </row>
    <row r="655" spans="3:15" ht="18" customHeight="1" x14ac:dyDescent="0.3">
      <c r="C655" s="19"/>
      <c r="D655" s="19"/>
      <c r="E655" s="19"/>
      <c r="F655" s="20"/>
      <c r="G655" s="20"/>
      <c r="H655" s="21"/>
      <c r="I655" s="22"/>
      <c r="J655" s="21"/>
      <c r="K655" s="19"/>
      <c r="L655" s="23"/>
      <c r="M655" s="23"/>
      <c r="O655" s="18"/>
    </row>
    <row r="656" spans="3:15" ht="18" customHeight="1" x14ac:dyDescent="0.3">
      <c r="C656" s="19"/>
      <c r="D656" s="19"/>
      <c r="E656" s="19"/>
      <c r="F656" s="20"/>
      <c r="G656" s="20"/>
      <c r="H656" s="21"/>
      <c r="I656" s="22"/>
      <c r="J656" s="21"/>
      <c r="K656" s="19"/>
      <c r="L656" s="23"/>
      <c r="M656" s="23"/>
      <c r="O656" s="18"/>
    </row>
    <row r="657" spans="3:15" ht="18" customHeight="1" x14ac:dyDescent="0.3">
      <c r="C657" s="19"/>
      <c r="D657" s="19"/>
      <c r="E657" s="19"/>
      <c r="F657" s="20"/>
      <c r="G657" s="20"/>
      <c r="H657" s="21"/>
      <c r="I657" s="22"/>
      <c r="J657" s="21"/>
      <c r="K657" s="19"/>
      <c r="L657" s="23"/>
      <c r="M657" s="23"/>
      <c r="O657" s="18"/>
    </row>
    <row r="658" spans="3:15" ht="18" customHeight="1" x14ac:dyDescent="0.3">
      <c r="C658" s="19"/>
      <c r="D658" s="19"/>
      <c r="E658" s="19"/>
      <c r="F658" s="20"/>
      <c r="G658" s="20"/>
      <c r="H658" s="21"/>
      <c r="I658" s="22"/>
      <c r="J658" s="21"/>
      <c r="K658" s="19"/>
      <c r="L658" s="23"/>
      <c r="M658" s="23"/>
      <c r="O658" s="18"/>
    </row>
    <row r="659" spans="3:15" ht="18" customHeight="1" x14ac:dyDescent="0.3">
      <c r="C659" s="19"/>
      <c r="D659" s="19"/>
      <c r="E659" s="19"/>
      <c r="F659" s="20"/>
      <c r="G659" s="20"/>
      <c r="H659" s="21"/>
      <c r="I659" s="22"/>
      <c r="J659" s="21"/>
      <c r="K659" s="19"/>
      <c r="L659" s="23"/>
      <c r="M659" s="23"/>
      <c r="O659" s="18"/>
    </row>
    <row r="660" spans="3:15" ht="18" customHeight="1" x14ac:dyDescent="0.3">
      <c r="C660" s="19"/>
      <c r="D660" s="19"/>
      <c r="E660" s="19"/>
      <c r="F660" s="20"/>
      <c r="G660" s="20"/>
      <c r="H660" s="21"/>
      <c r="I660" s="22"/>
      <c r="J660" s="21"/>
      <c r="K660" s="19"/>
      <c r="L660" s="23"/>
      <c r="M660" s="23"/>
      <c r="O660" s="18"/>
    </row>
    <row r="661" spans="3:15" ht="18" customHeight="1" x14ac:dyDescent="0.3">
      <c r="C661" s="19"/>
      <c r="D661" s="19"/>
      <c r="E661" s="19"/>
      <c r="F661" s="20"/>
      <c r="G661" s="20"/>
      <c r="H661" s="21"/>
      <c r="I661" s="22"/>
      <c r="J661" s="21"/>
      <c r="K661" s="19"/>
      <c r="L661" s="23"/>
      <c r="M661" s="23"/>
      <c r="O661" s="18"/>
    </row>
    <row r="662" spans="3:15" ht="18" customHeight="1" x14ac:dyDescent="0.3">
      <c r="C662" s="19"/>
      <c r="D662" s="19"/>
      <c r="E662" s="19"/>
      <c r="F662" s="20"/>
      <c r="G662" s="20"/>
      <c r="H662" s="21"/>
      <c r="I662" s="22"/>
      <c r="J662" s="21"/>
      <c r="K662" s="19"/>
      <c r="L662" s="23"/>
      <c r="M662" s="23"/>
      <c r="O662" s="18"/>
    </row>
    <row r="663" spans="3:15" ht="18" customHeight="1" x14ac:dyDescent="0.3">
      <c r="C663" s="19"/>
      <c r="D663" s="19"/>
      <c r="E663" s="19"/>
      <c r="F663" s="20"/>
      <c r="G663" s="20"/>
      <c r="H663" s="21"/>
      <c r="I663" s="22"/>
      <c r="J663" s="21"/>
      <c r="K663" s="19"/>
      <c r="L663" s="23"/>
      <c r="M663" s="23"/>
      <c r="O663" s="18"/>
    </row>
    <row r="664" spans="3:15" ht="18" customHeight="1" x14ac:dyDescent="0.3">
      <c r="C664" s="19"/>
      <c r="D664" s="19"/>
      <c r="E664" s="19"/>
      <c r="F664" s="20"/>
      <c r="G664" s="20"/>
      <c r="H664" s="21"/>
      <c r="I664" s="22"/>
      <c r="J664" s="21"/>
      <c r="K664" s="19"/>
      <c r="L664" s="23"/>
      <c r="M664" s="23"/>
      <c r="O664" s="18"/>
    </row>
    <row r="665" spans="3:15" ht="18" customHeight="1" x14ac:dyDescent="0.3">
      <c r="C665" s="19"/>
      <c r="D665" s="19"/>
      <c r="E665" s="19"/>
      <c r="F665" s="20"/>
      <c r="G665" s="20"/>
      <c r="H665" s="21"/>
      <c r="I665" s="22"/>
      <c r="J665" s="21"/>
      <c r="K665" s="19"/>
      <c r="L665" s="23"/>
      <c r="M665" s="23"/>
      <c r="O665" s="18"/>
    </row>
    <row r="666" spans="3:15" ht="18" customHeight="1" x14ac:dyDescent="0.3">
      <c r="C666" s="19"/>
      <c r="D666" s="19"/>
      <c r="E666" s="19"/>
      <c r="F666" s="20"/>
      <c r="G666" s="20"/>
      <c r="H666" s="21"/>
      <c r="I666" s="22"/>
      <c r="J666" s="21"/>
      <c r="K666" s="19"/>
      <c r="L666" s="23"/>
      <c r="M666" s="23"/>
      <c r="O666" s="18"/>
    </row>
    <row r="667" spans="3:15" ht="18" customHeight="1" x14ac:dyDescent="0.3">
      <c r="C667" s="19"/>
      <c r="D667" s="19"/>
      <c r="E667" s="19"/>
      <c r="F667" s="20"/>
      <c r="G667" s="20"/>
      <c r="H667" s="21"/>
      <c r="I667" s="22"/>
      <c r="J667" s="21"/>
      <c r="K667" s="19"/>
      <c r="L667" s="23"/>
      <c r="M667" s="23"/>
      <c r="O667" s="18"/>
    </row>
    <row r="668" spans="3:15" ht="18" customHeight="1" x14ac:dyDescent="0.3">
      <c r="C668" s="19"/>
      <c r="D668" s="19"/>
      <c r="E668" s="19"/>
      <c r="F668" s="20"/>
      <c r="G668" s="20"/>
      <c r="H668" s="21"/>
      <c r="I668" s="22"/>
      <c r="J668" s="21"/>
      <c r="K668" s="19"/>
      <c r="L668" s="23"/>
      <c r="M668" s="23"/>
      <c r="O668" s="18"/>
    </row>
    <row r="669" spans="3:15" ht="18" customHeight="1" x14ac:dyDescent="0.3">
      <c r="C669" s="19"/>
      <c r="D669" s="19"/>
      <c r="E669" s="19"/>
      <c r="F669" s="20"/>
      <c r="G669" s="20"/>
      <c r="H669" s="21"/>
      <c r="I669" s="22"/>
      <c r="J669" s="21"/>
      <c r="K669" s="19"/>
      <c r="L669" s="23"/>
      <c r="M669" s="23"/>
      <c r="O669" s="18"/>
    </row>
    <row r="670" spans="3:15" ht="18" customHeight="1" x14ac:dyDescent="0.3">
      <c r="C670" s="19"/>
      <c r="D670" s="19"/>
      <c r="E670" s="19"/>
      <c r="F670" s="20"/>
      <c r="G670" s="20"/>
      <c r="H670" s="21"/>
      <c r="I670" s="22"/>
      <c r="J670" s="21"/>
      <c r="K670" s="19"/>
      <c r="L670" s="23"/>
      <c r="M670" s="23"/>
      <c r="O670" s="18"/>
    </row>
    <row r="671" spans="3:15" ht="18" customHeight="1" x14ac:dyDescent="0.3">
      <c r="C671" s="19"/>
      <c r="D671" s="19"/>
      <c r="E671" s="19"/>
      <c r="F671" s="20"/>
      <c r="G671" s="20"/>
      <c r="H671" s="21"/>
      <c r="I671" s="22"/>
      <c r="J671" s="21"/>
      <c r="K671" s="19"/>
      <c r="L671" s="23"/>
      <c r="M671" s="23"/>
      <c r="O671" s="18"/>
    </row>
    <row r="672" spans="3:15" ht="18" customHeight="1" x14ac:dyDescent="0.3">
      <c r="C672" s="19"/>
      <c r="D672" s="19"/>
      <c r="E672" s="19"/>
      <c r="F672" s="20"/>
      <c r="G672" s="20"/>
      <c r="H672" s="21"/>
      <c r="I672" s="22"/>
      <c r="J672" s="21"/>
      <c r="K672" s="19"/>
      <c r="L672" s="23"/>
      <c r="M672" s="23"/>
      <c r="O672" s="18"/>
    </row>
    <row r="673" spans="3:15" ht="18" customHeight="1" x14ac:dyDescent="0.3">
      <c r="C673" s="19"/>
      <c r="D673" s="19"/>
      <c r="E673" s="19"/>
      <c r="F673" s="20"/>
      <c r="G673" s="20"/>
      <c r="H673" s="21"/>
      <c r="I673" s="22"/>
      <c r="J673" s="21"/>
      <c r="K673" s="19"/>
      <c r="L673" s="23"/>
      <c r="M673" s="23"/>
      <c r="O673" s="18"/>
    </row>
    <row r="674" spans="3:15" ht="18" customHeight="1" x14ac:dyDescent="0.3">
      <c r="C674" s="19"/>
      <c r="D674" s="19"/>
      <c r="E674" s="19"/>
      <c r="F674" s="20"/>
      <c r="G674" s="20"/>
      <c r="H674" s="21"/>
      <c r="I674" s="22"/>
      <c r="J674" s="21"/>
      <c r="K674" s="19"/>
      <c r="L674" s="23"/>
      <c r="M674" s="23"/>
      <c r="O674" s="18"/>
    </row>
    <row r="675" spans="3:15" ht="18" customHeight="1" x14ac:dyDescent="0.3">
      <c r="C675" s="19"/>
      <c r="D675" s="19"/>
      <c r="E675" s="19"/>
      <c r="F675" s="20"/>
      <c r="G675" s="20"/>
      <c r="H675" s="21"/>
      <c r="I675" s="22"/>
      <c r="J675" s="21"/>
      <c r="K675" s="19"/>
      <c r="L675" s="23"/>
      <c r="M675" s="23"/>
      <c r="O675" s="18"/>
    </row>
    <row r="676" spans="3:15" ht="18" customHeight="1" x14ac:dyDescent="0.3">
      <c r="C676" s="19"/>
      <c r="D676" s="19"/>
      <c r="E676" s="19"/>
      <c r="F676" s="20"/>
      <c r="G676" s="20"/>
      <c r="H676" s="21"/>
      <c r="I676" s="22"/>
      <c r="J676" s="21"/>
      <c r="K676" s="19"/>
      <c r="L676" s="23"/>
      <c r="M676" s="23"/>
      <c r="O676" s="18"/>
    </row>
    <row r="677" spans="3:15" ht="18" customHeight="1" x14ac:dyDescent="0.3">
      <c r="C677" s="19"/>
      <c r="D677" s="19"/>
      <c r="E677" s="19"/>
      <c r="F677" s="20"/>
      <c r="G677" s="20"/>
      <c r="H677" s="21"/>
      <c r="I677" s="22"/>
      <c r="J677" s="21"/>
      <c r="K677" s="19"/>
      <c r="L677" s="23"/>
      <c r="M677" s="23"/>
      <c r="O677" s="18"/>
    </row>
    <row r="678" spans="3:15" ht="18" customHeight="1" x14ac:dyDescent="0.3">
      <c r="C678" s="19"/>
      <c r="D678" s="19"/>
      <c r="E678" s="19"/>
      <c r="F678" s="20"/>
      <c r="G678" s="20"/>
      <c r="H678" s="21"/>
      <c r="I678" s="22"/>
      <c r="J678" s="21"/>
      <c r="K678" s="19"/>
      <c r="L678" s="23"/>
      <c r="M678" s="23"/>
      <c r="O678" s="18"/>
    </row>
    <row r="679" spans="3:15" ht="18" customHeight="1" x14ac:dyDescent="0.3">
      <c r="C679" s="19"/>
      <c r="D679" s="19"/>
      <c r="E679" s="19"/>
      <c r="F679" s="20"/>
      <c r="G679" s="20"/>
      <c r="H679" s="21"/>
      <c r="I679" s="22"/>
      <c r="J679" s="21"/>
      <c r="K679" s="19"/>
      <c r="L679" s="23"/>
      <c r="M679" s="23"/>
      <c r="O679" s="18"/>
    </row>
    <row r="680" spans="3:15" ht="18" customHeight="1" x14ac:dyDescent="0.3">
      <c r="C680" s="19"/>
      <c r="D680" s="19"/>
      <c r="E680" s="19"/>
      <c r="F680" s="20"/>
      <c r="G680" s="20"/>
      <c r="H680" s="21"/>
      <c r="I680" s="22"/>
      <c r="J680" s="21"/>
      <c r="K680" s="19"/>
      <c r="L680" s="23"/>
      <c r="M680" s="23"/>
      <c r="O680" s="18"/>
    </row>
    <row r="681" spans="3:15" ht="18" customHeight="1" x14ac:dyDescent="0.3">
      <c r="C681" s="19"/>
      <c r="D681" s="19"/>
      <c r="E681" s="19"/>
      <c r="F681" s="20"/>
      <c r="G681" s="20"/>
      <c r="H681" s="21"/>
      <c r="I681" s="22"/>
      <c r="J681" s="21"/>
      <c r="K681" s="19"/>
      <c r="L681" s="23"/>
      <c r="M681" s="23"/>
      <c r="O681" s="18"/>
    </row>
    <row r="682" spans="3:15" ht="18" customHeight="1" x14ac:dyDescent="0.3">
      <c r="C682" s="19"/>
      <c r="D682" s="19"/>
      <c r="E682" s="19"/>
      <c r="F682" s="20"/>
      <c r="G682" s="20"/>
      <c r="H682" s="21"/>
      <c r="I682" s="22"/>
      <c r="J682" s="21"/>
      <c r="K682" s="19"/>
      <c r="L682" s="23"/>
      <c r="M682" s="23"/>
      <c r="O682" s="18"/>
    </row>
    <row r="683" spans="3:15" ht="18" customHeight="1" x14ac:dyDescent="0.3">
      <c r="C683" s="19"/>
      <c r="D683" s="19"/>
      <c r="E683" s="19"/>
      <c r="F683" s="20"/>
      <c r="G683" s="20"/>
      <c r="H683" s="21"/>
      <c r="I683" s="22"/>
      <c r="J683" s="21"/>
      <c r="K683" s="19"/>
      <c r="L683" s="23"/>
      <c r="M683" s="23"/>
      <c r="O683" s="18"/>
    </row>
    <row r="684" spans="3:15" ht="18" customHeight="1" x14ac:dyDescent="0.3">
      <c r="C684" s="19"/>
      <c r="D684" s="19"/>
      <c r="E684" s="19"/>
      <c r="F684" s="20"/>
      <c r="G684" s="20"/>
      <c r="H684" s="21"/>
      <c r="I684" s="22"/>
      <c r="J684" s="21"/>
      <c r="K684" s="19"/>
      <c r="L684" s="23"/>
      <c r="M684" s="23"/>
      <c r="O684" s="18"/>
    </row>
    <row r="685" spans="3:15" ht="18" customHeight="1" x14ac:dyDescent="0.3">
      <c r="C685" s="19"/>
      <c r="D685" s="19"/>
      <c r="E685" s="19"/>
      <c r="F685" s="20"/>
      <c r="G685" s="20"/>
      <c r="H685" s="21"/>
      <c r="I685" s="22"/>
      <c r="J685" s="21"/>
      <c r="K685" s="19"/>
      <c r="L685" s="23"/>
      <c r="M685" s="23"/>
      <c r="O685" s="18"/>
    </row>
    <row r="686" spans="3:15" ht="18" customHeight="1" x14ac:dyDescent="0.3">
      <c r="C686" s="19"/>
      <c r="D686" s="19"/>
      <c r="E686" s="19"/>
      <c r="F686" s="20"/>
      <c r="G686" s="20"/>
      <c r="H686" s="21"/>
      <c r="I686" s="22"/>
      <c r="J686" s="21"/>
      <c r="K686" s="19"/>
      <c r="L686" s="23"/>
      <c r="M686" s="23"/>
      <c r="O686" s="18"/>
    </row>
    <row r="687" spans="3:15" ht="18" customHeight="1" x14ac:dyDescent="0.3">
      <c r="C687" s="19"/>
      <c r="D687" s="19"/>
      <c r="E687" s="19"/>
      <c r="F687" s="20"/>
      <c r="G687" s="20"/>
      <c r="H687" s="21"/>
      <c r="I687" s="22"/>
      <c r="J687" s="21"/>
      <c r="K687" s="19"/>
      <c r="L687" s="23"/>
      <c r="M687" s="23"/>
      <c r="O687" s="18"/>
    </row>
    <row r="688" spans="3:15" ht="18" customHeight="1" x14ac:dyDescent="0.3">
      <c r="C688" s="19"/>
      <c r="D688" s="19"/>
      <c r="E688" s="19"/>
      <c r="F688" s="20"/>
      <c r="G688" s="20"/>
      <c r="H688" s="21"/>
      <c r="I688" s="22"/>
      <c r="J688" s="21"/>
      <c r="K688" s="19"/>
      <c r="L688" s="23"/>
      <c r="M688" s="23"/>
      <c r="O688" s="18"/>
    </row>
    <row r="689" spans="3:15" ht="18" customHeight="1" x14ac:dyDescent="0.3">
      <c r="C689" s="19"/>
      <c r="D689" s="19"/>
      <c r="E689" s="19"/>
      <c r="F689" s="20"/>
      <c r="G689" s="20"/>
      <c r="H689" s="21"/>
      <c r="I689" s="22"/>
      <c r="J689" s="21"/>
      <c r="K689" s="19"/>
      <c r="L689" s="23"/>
      <c r="M689" s="23"/>
      <c r="O689" s="18"/>
    </row>
    <row r="690" spans="3:15" ht="18" customHeight="1" x14ac:dyDescent="0.3">
      <c r="C690" s="19"/>
      <c r="D690" s="19"/>
      <c r="E690" s="19"/>
      <c r="F690" s="20"/>
      <c r="G690" s="20"/>
      <c r="H690" s="21"/>
      <c r="I690" s="22"/>
      <c r="J690" s="21"/>
      <c r="K690" s="19"/>
      <c r="L690" s="23"/>
      <c r="M690" s="23"/>
      <c r="O690" s="18"/>
    </row>
    <row r="691" spans="3:15" ht="18" customHeight="1" x14ac:dyDescent="0.3">
      <c r="C691" s="19"/>
      <c r="D691" s="19"/>
      <c r="E691" s="19"/>
      <c r="F691" s="20"/>
      <c r="G691" s="20"/>
      <c r="H691" s="21"/>
      <c r="I691" s="22"/>
      <c r="J691" s="21"/>
      <c r="K691" s="19"/>
      <c r="L691" s="23"/>
      <c r="M691" s="23"/>
      <c r="O691" s="18"/>
    </row>
    <row r="692" spans="3:15" ht="18" customHeight="1" x14ac:dyDescent="0.3">
      <c r="C692" s="19"/>
      <c r="D692" s="19"/>
      <c r="E692" s="19"/>
      <c r="F692" s="20"/>
      <c r="G692" s="20"/>
      <c r="H692" s="21"/>
      <c r="I692" s="22"/>
      <c r="J692" s="21"/>
      <c r="K692" s="19"/>
      <c r="L692" s="23"/>
      <c r="M692" s="23"/>
      <c r="O692" s="18"/>
    </row>
    <row r="693" spans="3:15" ht="18" customHeight="1" x14ac:dyDescent="0.3">
      <c r="C693" s="19"/>
      <c r="D693" s="19"/>
      <c r="E693" s="19"/>
      <c r="F693" s="20"/>
      <c r="G693" s="20"/>
      <c r="H693" s="21"/>
      <c r="I693" s="22"/>
      <c r="J693" s="21"/>
      <c r="K693" s="19"/>
      <c r="L693" s="23"/>
      <c r="M693" s="23"/>
      <c r="O693" s="18"/>
    </row>
    <row r="694" spans="3:15" ht="18" customHeight="1" x14ac:dyDescent="0.3">
      <c r="C694" s="19"/>
      <c r="D694" s="19"/>
      <c r="E694" s="19"/>
      <c r="F694" s="20"/>
      <c r="G694" s="20"/>
      <c r="H694" s="21"/>
      <c r="I694" s="22"/>
      <c r="J694" s="21"/>
      <c r="K694" s="19"/>
      <c r="L694" s="23"/>
      <c r="M694" s="23"/>
      <c r="O694" s="18"/>
    </row>
    <row r="695" spans="3:15" ht="18" customHeight="1" x14ac:dyDescent="0.3">
      <c r="C695" s="19"/>
      <c r="D695" s="19"/>
      <c r="E695" s="19"/>
      <c r="F695" s="20"/>
      <c r="G695" s="20"/>
      <c r="H695" s="21"/>
      <c r="I695" s="22"/>
      <c r="J695" s="21"/>
      <c r="K695" s="19"/>
      <c r="L695" s="23"/>
      <c r="M695" s="23"/>
      <c r="O695" s="18"/>
    </row>
    <row r="696" spans="3:15" ht="18" customHeight="1" x14ac:dyDescent="0.3">
      <c r="C696" s="19"/>
      <c r="D696" s="19"/>
      <c r="E696" s="19"/>
      <c r="F696" s="20"/>
      <c r="G696" s="20"/>
      <c r="H696" s="21"/>
      <c r="I696" s="22"/>
      <c r="J696" s="21"/>
      <c r="K696" s="19"/>
      <c r="L696" s="23"/>
      <c r="M696" s="23"/>
      <c r="O696" s="18"/>
    </row>
    <row r="697" spans="3:15" ht="18" customHeight="1" x14ac:dyDescent="0.3">
      <c r="C697" s="19"/>
      <c r="D697" s="19"/>
      <c r="E697" s="19"/>
      <c r="F697" s="20"/>
      <c r="G697" s="20"/>
      <c r="H697" s="21"/>
      <c r="I697" s="22"/>
      <c r="J697" s="21"/>
      <c r="K697" s="19"/>
      <c r="L697" s="23"/>
      <c r="M697" s="23"/>
      <c r="O697" s="18"/>
    </row>
    <row r="698" spans="3:15" ht="18" customHeight="1" x14ac:dyDescent="0.3">
      <c r="C698" s="19"/>
      <c r="D698" s="19"/>
      <c r="E698" s="19"/>
      <c r="F698" s="20"/>
      <c r="G698" s="20"/>
      <c r="H698" s="21"/>
      <c r="I698" s="22"/>
      <c r="J698" s="21"/>
      <c r="K698" s="19"/>
      <c r="L698" s="23"/>
      <c r="M698" s="23"/>
      <c r="O698" s="18"/>
    </row>
    <row r="699" spans="3:15" ht="18" customHeight="1" x14ac:dyDescent="0.3">
      <c r="C699" s="19"/>
      <c r="D699" s="19"/>
      <c r="E699" s="19"/>
      <c r="F699" s="20"/>
      <c r="G699" s="20"/>
      <c r="H699" s="21"/>
      <c r="I699" s="22"/>
      <c r="J699" s="21"/>
      <c r="K699" s="19"/>
      <c r="L699" s="23"/>
      <c r="M699" s="23"/>
      <c r="O699" s="18"/>
    </row>
    <row r="700" spans="3:15" ht="18" customHeight="1" x14ac:dyDescent="0.3">
      <c r="C700" s="19"/>
      <c r="D700" s="19"/>
      <c r="E700" s="19"/>
      <c r="F700" s="20"/>
      <c r="G700" s="20"/>
      <c r="H700" s="21"/>
      <c r="I700" s="22"/>
      <c r="J700" s="21"/>
      <c r="K700" s="19"/>
      <c r="L700" s="23"/>
      <c r="M700" s="23"/>
      <c r="O700" s="18"/>
    </row>
    <row r="701" spans="3:15" ht="18" customHeight="1" x14ac:dyDescent="0.3">
      <c r="C701" s="19"/>
      <c r="D701" s="19"/>
      <c r="E701" s="19"/>
      <c r="F701" s="20"/>
      <c r="G701" s="20"/>
      <c r="H701" s="21"/>
      <c r="I701" s="22"/>
      <c r="J701" s="21"/>
      <c r="K701" s="19"/>
      <c r="L701" s="23"/>
      <c r="M701" s="23"/>
      <c r="O701" s="18"/>
    </row>
    <row r="702" spans="3:15" ht="18" customHeight="1" x14ac:dyDescent="0.3">
      <c r="C702" s="19"/>
      <c r="D702" s="19"/>
      <c r="E702" s="19"/>
      <c r="F702" s="20"/>
      <c r="G702" s="20"/>
      <c r="H702" s="21"/>
      <c r="I702" s="22"/>
      <c r="J702" s="21"/>
      <c r="K702" s="19"/>
      <c r="L702" s="23"/>
      <c r="M702" s="23"/>
      <c r="O702" s="18"/>
    </row>
    <row r="703" spans="3:15" ht="18" customHeight="1" x14ac:dyDescent="0.3">
      <c r="C703" s="19"/>
      <c r="D703" s="19"/>
      <c r="E703" s="19"/>
      <c r="F703" s="20"/>
      <c r="G703" s="20"/>
      <c r="H703" s="21"/>
      <c r="I703" s="22"/>
      <c r="J703" s="21"/>
      <c r="K703" s="19"/>
      <c r="L703" s="23"/>
      <c r="M703" s="23"/>
      <c r="O703" s="18"/>
    </row>
    <row r="704" spans="3:15" ht="18" customHeight="1" x14ac:dyDescent="0.3">
      <c r="C704" s="19"/>
      <c r="D704" s="19"/>
      <c r="E704" s="19"/>
      <c r="F704" s="20"/>
      <c r="G704" s="20"/>
      <c r="H704" s="21"/>
      <c r="I704" s="22"/>
      <c r="J704" s="21"/>
      <c r="K704" s="19"/>
      <c r="L704" s="23"/>
      <c r="M704" s="23"/>
      <c r="O704" s="18"/>
    </row>
    <row r="705" spans="3:15" ht="18" customHeight="1" x14ac:dyDescent="0.3">
      <c r="C705" s="19"/>
      <c r="D705" s="19"/>
      <c r="E705" s="19"/>
      <c r="F705" s="20"/>
      <c r="G705" s="20"/>
      <c r="H705" s="21"/>
      <c r="I705" s="22"/>
      <c r="J705" s="21"/>
      <c r="K705" s="19"/>
      <c r="L705" s="23"/>
      <c r="M705" s="23"/>
      <c r="O705" s="18"/>
    </row>
    <row r="706" spans="3:15" ht="18" customHeight="1" x14ac:dyDescent="0.3">
      <c r="C706" s="19"/>
      <c r="D706" s="19"/>
      <c r="E706" s="19"/>
      <c r="F706" s="20"/>
      <c r="G706" s="20"/>
      <c r="H706" s="21"/>
      <c r="I706" s="22"/>
      <c r="J706" s="21"/>
      <c r="K706" s="19"/>
      <c r="L706" s="23"/>
      <c r="M706" s="23"/>
      <c r="O706" s="18"/>
    </row>
    <row r="707" spans="3:15" ht="18" customHeight="1" x14ac:dyDescent="0.3">
      <c r="C707" s="19"/>
      <c r="D707" s="19"/>
      <c r="E707" s="19"/>
      <c r="F707" s="20"/>
      <c r="G707" s="20"/>
      <c r="H707" s="21"/>
      <c r="I707" s="22"/>
      <c r="J707" s="21"/>
      <c r="K707" s="19"/>
      <c r="L707" s="23"/>
      <c r="M707" s="23"/>
      <c r="O707" s="18"/>
    </row>
    <row r="708" spans="3:15" ht="18" customHeight="1" x14ac:dyDescent="0.3">
      <c r="C708" s="19"/>
      <c r="D708" s="19"/>
      <c r="E708" s="19"/>
      <c r="F708" s="20"/>
      <c r="G708" s="20"/>
      <c r="H708" s="21"/>
      <c r="I708" s="22"/>
      <c r="J708" s="21"/>
      <c r="K708" s="19"/>
      <c r="L708" s="23"/>
      <c r="M708" s="23"/>
      <c r="O708" s="18"/>
    </row>
    <row r="709" spans="3:15" ht="18" customHeight="1" x14ac:dyDescent="0.3">
      <c r="C709" s="19"/>
      <c r="D709" s="19"/>
      <c r="E709" s="19"/>
      <c r="F709" s="20"/>
      <c r="G709" s="20"/>
      <c r="H709" s="21"/>
      <c r="I709" s="22"/>
      <c r="J709" s="21"/>
      <c r="K709" s="19"/>
      <c r="L709" s="23"/>
      <c r="M709" s="23"/>
      <c r="O709" s="18"/>
    </row>
    <row r="710" spans="3:15" ht="18" customHeight="1" x14ac:dyDescent="0.3">
      <c r="C710" s="19"/>
      <c r="D710" s="19"/>
      <c r="E710" s="19"/>
      <c r="F710" s="20"/>
      <c r="G710" s="20"/>
      <c r="H710" s="21"/>
      <c r="I710" s="22"/>
      <c r="J710" s="21"/>
      <c r="K710" s="19"/>
      <c r="L710" s="23"/>
      <c r="M710" s="23"/>
      <c r="O710" s="18"/>
    </row>
    <row r="711" spans="3:15" ht="18" customHeight="1" x14ac:dyDescent="0.3">
      <c r="C711" s="19"/>
      <c r="D711" s="19"/>
      <c r="E711" s="19"/>
      <c r="F711" s="20"/>
      <c r="G711" s="20"/>
      <c r="H711" s="21"/>
      <c r="I711" s="22"/>
      <c r="J711" s="21"/>
      <c r="K711" s="19"/>
      <c r="L711" s="23"/>
      <c r="M711" s="23"/>
      <c r="O711" s="18"/>
    </row>
    <row r="712" spans="3:15" ht="18" customHeight="1" x14ac:dyDescent="0.3">
      <c r="C712" s="19"/>
      <c r="D712" s="19"/>
      <c r="E712" s="19"/>
      <c r="F712" s="20"/>
      <c r="G712" s="20"/>
      <c r="H712" s="21"/>
      <c r="I712" s="22"/>
      <c r="J712" s="21"/>
      <c r="K712" s="19"/>
      <c r="L712" s="23"/>
      <c r="M712" s="23"/>
      <c r="O712" s="18"/>
    </row>
    <row r="713" spans="3:15" ht="18" customHeight="1" x14ac:dyDescent="0.3">
      <c r="C713" s="19"/>
      <c r="D713" s="19"/>
      <c r="E713" s="19"/>
      <c r="F713" s="20"/>
      <c r="G713" s="20"/>
      <c r="H713" s="21"/>
      <c r="I713" s="22"/>
      <c r="J713" s="21"/>
      <c r="K713" s="19"/>
      <c r="L713" s="23"/>
      <c r="M713" s="23"/>
      <c r="O713" s="18"/>
    </row>
    <row r="714" spans="3:15" ht="18" customHeight="1" x14ac:dyDescent="0.3">
      <c r="C714" s="19"/>
      <c r="D714" s="19"/>
      <c r="E714" s="19"/>
      <c r="F714" s="20"/>
      <c r="G714" s="20"/>
      <c r="H714" s="21"/>
      <c r="I714" s="22"/>
      <c r="J714" s="21"/>
      <c r="K714" s="19"/>
      <c r="L714" s="23"/>
      <c r="M714" s="23"/>
      <c r="O714" s="18"/>
    </row>
    <row r="715" spans="3:15" ht="18" customHeight="1" x14ac:dyDescent="0.3">
      <c r="C715" s="19"/>
      <c r="D715" s="19"/>
      <c r="E715" s="19"/>
      <c r="F715" s="20"/>
      <c r="G715" s="20"/>
      <c r="H715" s="21"/>
      <c r="I715" s="22"/>
      <c r="J715" s="21"/>
      <c r="K715" s="19"/>
      <c r="L715" s="23"/>
      <c r="M715" s="23"/>
      <c r="O715" s="18"/>
    </row>
    <row r="716" spans="3:15" ht="18" customHeight="1" x14ac:dyDescent="0.3">
      <c r="C716" s="19"/>
      <c r="D716" s="19"/>
      <c r="E716" s="19"/>
      <c r="F716" s="20"/>
      <c r="G716" s="20"/>
      <c r="H716" s="21"/>
      <c r="I716" s="22"/>
      <c r="J716" s="21"/>
      <c r="K716" s="19"/>
      <c r="L716" s="23"/>
      <c r="M716" s="23"/>
      <c r="O716" s="18"/>
    </row>
    <row r="717" spans="3:15" ht="18" customHeight="1" x14ac:dyDescent="0.3">
      <c r="C717" s="19"/>
      <c r="D717" s="19"/>
      <c r="E717" s="19"/>
      <c r="F717" s="20"/>
      <c r="G717" s="20"/>
      <c r="H717" s="21"/>
      <c r="I717" s="22"/>
      <c r="J717" s="21"/>
      <c r="K717" s="19"/>
      <c r="L717" s="23"/>
      <c r="M717" s="23"/>
      <c r="O717" s="18"/>
    </row>
    <row r="718" spans="3:15" ht="18" customHeight="1" x14ac:dyDescent="0.3">
      <c r="C718" s="19"/>
      <c r="D718" s="19"/>
      <c r="E718" s="19"/>
      <c r="F718" s="20"/>
      <c r="G718" s="20"/>
      <c r="H718" s="21"/>
      <c r="I718" s="22"/>
      <c r="J718" s="21"/>
      <c r="K718" s="19"/>
      <c r="L718" s="23"/>
      <c r="M718" s="23"/>
      <c r="O718" s="18"/>
    </row>
    <row r="719" spans="3:15" ht="18" customHeight="1" x14ac:dyDescent="0.3">
      <c r="C719" s="19"/>
      <c r="D719" s="19"/>
      <c r="E719" s="19"/>
      <c r="F719" s="20"/>
      <c r="G719" s="20"/>
      <c r="H719" s="21"/>
      <c r="I719" s="22"/>
      <c r="J719" s="21"/>
      <c r="K719" s="19"/>
      <c r="L719" s="23"/>
      <c r="M719" s="23"/>
      <c r="O719" s="18"/>
    </row>
    <row r="720" spans="3:15" ht="18" customHeight="1" x14ac:dyDescent="0.3">
      <c r="C720" s="19"/>
      <c r="D720" s="19"/>
      <c r="E720" s="19"/>
      <c r="F720" s="20"/>
      <c r="G720" s="20"/>
      <c r="H720" s="21"/>
      <c r="I720" s="22"/>
      <c r="J720" s="21"/>
      <c r="K720" s="19"/>
      <c r="L720" s="23"/>
      <c r="M720" s="23"/>
      <c r="O720" s="18"/>
    </row>
    <row r="721" spans="3:15" ht="18" customHeight="1" x14ac:dyDescent="0.3">
      <c r="C721" s="19"/>
      <c r="D721" s="19"/>
      <c r="E721" s="19"/>
      <c r="F721" s="20"/>
      <c r="G721" s="20"/>
      <c r="H721" s="21"/>
      <c r="I721" s="22"/>
      <c r="J721" s="21"/>
      <c r="K721" s="19"/>
      <c r="L721" s="23"/>
      <c r="M721" s="23"/>
      <c r="O721" s="18"/>
    </row>
    <row r="722" spans="3:15" ht="18" customHeight="1" x14ac:dyDescent="0.3">
      <c r="C722" s="19"/>
      <c r="D722" s="19"/>
      <c r="E722" s="19"/>
      <c r="F722" s="20"/>
      <c r="G722" s="20"/>
      <c r="H722" s="21"/>
      <c r="I722" s="22"/>
      <c r="J722" s="21"/>
      <c r="K722" s="19"/>
      <c r="L722" s="23"/>
      <c r="M722" s="23"/>
      <c r="O722" s="18"/>
    </row>
    <row r="723" spans="3:15" ht="18" customHeight="1" x14ac:dyDescent="0.3">
      <c r="C723" s="19"/>
      <c r="D723" s="19"/>
      <c r="E723" s="19"/>
      <c r="F723" s="20"/>
      <c r="G723" s="20"/>
      <c r="H723" s="21"/>
      <c r="I723" s="22"/>
      <c r="J723" s="21"/>
      <c r="K723" s="19"/>
      <c r="L723" s="23"/>
      <c r="M723" s="23"/>
      <c r="O723" s="18"/>
    </row>
    <row r="724" spans="3:15" ht="18" customHeight="1" x14ac:dyDescent="0.3">
      <c r="C724" s="19"/>
      <c r="D724" s="19"/>
      <c r="E724" s="19"/>
      <c r="F724" s="20"/>
      <c r="G724" s="20"/>
      <c r="H724" s="21"/>
      <c r="I724" s="22"/>
      <c r="J724" s="21"/>
      <c r="K724" s="19"/>
      <c r="L724" s="23"/>
      <c r="M724" s="23"/>
      <c r="O724" s="18"/>
    </row>
    <row r="725" spans="3:15" ht="18" customHeight="1" x14ac:dyDescent="0.3">
      <c r="C725" s="19"/>
      <c r="D725" s="19"/>
      <c r="E725" s="19"/>
      <c r="F725" s="20"/>
      <c r="G725" s="20"/>
      <c r="H725" s="21"/>
      <c r="I725" s="22"/>
      <c r="J725" s="21"/>
      <c r="K725" s="19"/>
      <c r="L725" s="23"/>
      <c r="M725" s="23"/>
      <c r="O725" s="18"/>
    </row>
    <row r="726" spans="3:15" ht="18" customHeight="1" x14ac:dyDescent="0.3">
      <c r="C726" s="19"/>
      <c r="D726" s="19"/>
      <c r="E726" s="19"/>
      <c r="F726" s="20"/>
      <c r="G726" s="20"/>
      <c r="H726" s="21"/>
      <c r="I726" s="22"/>
      <c r="J726" s="21"/>
      <c r="K726" s="19"/>
      <c r="L726" s="23"/>
      <c r="M726" s="23"/>
      <c r="O726" s="18"/>
    </row>
    <row r="727" spans="3:15" ht="18" customHeight="1" x14ac:dyDescent="0.3">
      <c r="C727" s="19"/>
      <c r="D727" s="19"/>
      <c r="E727" s="19"/>
      <c r="F727" s="20"/>
      <c r="G727" s="20"/>
      <c r="H727" s="21"/>
      <c r="I727" s="22"/>
      <c r="J727" s="21"/>
      <c r="K727" s="19"/>
      <c r="L727" s="23"/>
      <c r="M727" s="23"/>
      <c r="O727" s="18"/>
    </row>
    <row r="728" spans="3:15" ht="18" customHeight="1" x14ac:dyDescent="0.3">
      <c r="C728" s="19"/>
      <c r="D728" s="19"/>
      <c r="E728" s="19"/>
      <c r="F728" s="20"/>
      <c r="G728" s="20"/>
      <c r="H728" s="21"/>
      <c r="I728" s="22"/>
      <c r="J728" s="21"/>
      <c r="K728" s="19"/>
      <c r="L728" s="23"/>
      <c r="M728" s="23"/>
      <c r="O728" s="18"/>
    </row>
    <row r="729" spans="3:15" ht="18" customHeight="1" x14ac:dyDescent="0.3">
      <c r="C729" s="19"/>
      <c r="D729" s="19"/>
      <c r="E729" s="19"/>
      <c r="F729" s="20"/>
      <c r="G729" s="20"/>
      <c r="H729" s="21"/>
      <c r="I729" s="22"/>
      <c r="J729" s="21"/>
      <c r="K729" s="19"/>
      <c r="L729" s="23"/>
      <c r="M729" s="23"/>
      <c r="O729" s="18"/>
    </row>
    <row r="730" spans="3:15" ht="18" customHeight="1" x14ac:dyDescent="0.3">
      <c r="C730" s="19"/>
      <c r="D730" s="19"/>
      <c r="E730" s="19"/>
      <c r="F730" s="20"/>
      <c r="G730" s="20"/>
      <c r="H730" s="21"/>
      <c r="I730" s="22"/>
      <c r="J730" s="21"/>
      <c r="K730" s="19"/>
      <c r="L730" s="23"/>
      <c r="M730" s="23"/>
      <c r="O730" s="18"/>
    </row>
    <row r="731" spans="3:15" ht="18" customHeight="1" x14ac:dyDescent="0.3">
      <c r="C731" s="19"/>
      <c r="D731" s="19"/>
      <c r="E731" s="19"/>
      <c r="F731" s="20"/>
      <c r="G731" s="20"/>
      <c r="H731" s="21"/>
      <c r="I731" s="22"/>
      <c r="J731" s="21"/>
      <c r="K731" s="19"/>
      <c r="L731" s="23"/>
      <c r="M731" s="23"/>
      <c r="O731" s="18"/>
    </row>
    <row r="732" spans="3:15" ht="18" customHeight="1" x14ac:dyDescent="0.3">
      <c r="C732" s="19"/>
      <c r="D732" s="19"/>
      <c r="E732" s="19"/>
      <c r="F732" s="20"/>
      <c r="G732" s="20"/>
      <c r="H732" s="21"/>
      <c r="I732" s="22"/>
      <c r="J732" s="21"/>
      <c r="K732" s="19"/>
      <c r="L732" s="23"/>
      <c r="M732" s="23"/>
      <c r="O732" s="18"/>
    </row>
    <row r="733" spans="3:15" ht="18" customHeight="1" x14ac:dyDescent="0.3">
      <c r="C733" s="19"/>
      <c r="D733" s="19"/>
      <c r="E733" s="19"/>
      <c r="F733" s="20"/>
      <c r="G733" s="20"/>
      <c r="H733" s="21"/>
      <c r="I733" s="22"/>
      <c r="J733" s="21"/>
      <c r="K733" s="19"/>
      <c r="L733" s="23"/>
      <c r="M733" s="23"/>
      <c r="O733" s="18"/>
    </row>
    <row r="734" spans="3:15" ht="18" customHeight="1" x14ac:dyDescent="0.3">
      <c r="C734" s="19"/>
      <c r="D734" s="19"/>
      <c r="E734" s="19"/>
      <c r="F734" s="20"/>
      <c r="G734" s="20"/>
      <c r="H734" s="21"/>
      <c r="I734" s="22"/>
      <c r="J734" s="21"/>
      <c r="K734" s="19"/>
      <c r="L734" s="23"/>
      <c r="M734" s="23"/>
      <c r="O734" s="18"/>
    </row>
    <row r="735" spans="3:15" ht="18" customHeight="1" x14ac:dyDescent="0.3">
      <c r="C735" s="19"/>
      <c r="D735" s="19"/>
      <c r="E735" s="19"/>
      <c r="F735" s="20"/>
      <c r="G735" s="20"/>
      <c r="H735" s="21"/>
      <c r="I735" s="22"/>
      <c r="J735" s="21"/>
      <c r="K735" s="19"/>
      <c r="L735" s="23"/>
      <c r="M735" s="23"/>
      <c r="O735" s="18"/>
    </row>
    <row r="736" spans="3:15" ht="18" customHeight="1" x14ac:dyDescent="0.3">
      <c r="C736" s="19"/>
      <c r="D736" s="19"/>
      <c r="E736" s="19"/>
      <c r="F736" s="20"/>
      <c r="G736" s="20"/>
      <c r="H736" s="21"/>
      <c r="I736" s="22"/>
      <c r="J736" s="21"/>
      <c r="K736" s="19"/>
      <c r="L736" s="23"/>
      <c r="M736" s="23"/>
      <c r="O736" s="18"/>
    </row>
    <row r="737" spans="3:15" ht="18" customHeight="1" x14ac:dyDescent="0.3">
      <c r="C737" s="19"/>
      <c r="D737" s="19"/>
      <c r="E737" s="19"/>
      <c r="F737" s="20"/>
      <c r="G737" s="20"/>
      <c r="H737" s="21"/>
      <c r="I737" s="22"/>
      <c r="J737" s="21"/>
      <c r="K737" s="19"/>
      <c r="L737" s="23"/>
      <c r="M737" s="23"/>
      <c r="O737" s="18"/>
    </row>
    <row r="738" spans="3:15" ht="18" customHeight="1" x14ac:dyDescent="0.3">
      <c r="C738" s="19"/>
      <c r="D738" s="19"/>
      <c r="E738" s="19"/>
      <c r="F738" s="20"/>
      <c r="G738" s="20"/>
      <c r="H738" s="21"/>
      <c r="I738" s="22"/>
      <c r="J738" s="21"/>
      <c r="K738" s="19"/>
      <c r="L738" s="23"/>
      <c r="M738" s="23"/>
      <c r="O738" s="18"/>
    </row>
    <row r="739" spans="3:15" ht="18" customHeight="1" x14ac:dyDescent="0.3">
      <c r="C739" s="19"/>
      <c r="D739" s="19"/>
      <c r="E739" s="19"/>
      <c r="F739" s="20"/>
      <c r="G739" s="20"/>
      <c r="H739" s="21"/>
      <c r="I739" s="22"/>
      <c r="J739" s="21"/>
      <c r="K739" s="19"/>
      <c r="L739" s="23"/>
      <c r="M739" s="23"/>
      <c r="O739" s="18"/>
    </row>
    <row r="740" spans="3:15" ht="18" customHeight="1" x14ac:dyDescent="0.3">
      <c r="C740" s="19"/>
      <c r="D740" s="19"/>
      <c r="E740" s="19"/>
      <c r="F740" s="20"/>
      <c r="G740" s="20"/>
      <c r="H740" s="21"/>
      <c r="I740" s="22"/>
      <c r="J740" s="21"/>
      <c r="K740" s="19"/>
      <c r="L740" s="23"/>
      <c r="M740" s="23"/>
      <c r="O740" s="18"/>
    </row>
    <row r="741" spans="3:15" ht="18" customHeight="1" x14ac:dyDescent="0.3">
      <c r="C741" s="19"/>
      <c r="D741" s="19"/>
      <c r="E741" s="19"/>
      <c r="F741" s="20"/>
      <c r="G741" s="20"/>
      <c r="H741" s="21"/>
      <c r="I741" s="22"/>
      <c r="J741" s="21"/>
      <c r="K741" s="19"/>
      <c r="L741" s="23"/>
      <c r="M741" s="23"/>
      <c r="O741" s="18"/>
    </row>
    <row r="742" spans="3:15" ht="18" customHeight="1" x14ac:dyDescent="0.3">
      <c r="C742" s="19"/>
      <c r="D742" s="19"/>
      <c r="E742" s="19"/>
      <c r="F742" s="20"/>
      <c r="G742" s="20"/>
      <c r="H742" s="21"/>
      <c r="I742" s="22"/>
      <c r="J742" s="21"/>
      <c r="K742" s="19"/>
      <c r="L742" s="23"/>
      <c r="M742" s="23"/>
      <c r="O742" s="18"/>
    </row>
    <row r="743" spans="3:15" ht="18" customHeight="1" x14ac:dyDescent="0.3">
      <c r="C743" s="19"/>
      <c r="D743" s="19"/>
      <c r="E743" s="19"/>
      <c r="F743" s="20"/>
      <c r="G743" s="20"/>
      <c r="H743" s="21"/>
      <c r="I743" s="22"/>
      <c r="J743" s="21"/>
      <c r="K743" s="19"/>
      <c r="L743" s="23"/>
      <c r="M743" s="23"/>
      <c r="O743" s="18"/>
    </row>
    <row r="744" spans="3:15" ht="18" customHeight="1" x14ac:dyDescent="0.3">
      <c r="C744" s="19"/>
      <c r="D744" s="19"/>
      <c r="E744" s="19"/>
      <c r="F744" s="20"/>
      <c r="G744" s="20"/>
      <c r="H744" s="21"/>
      <c r="I744" s="22"/>
      <c r="J744" s="21"/>
      <c r="K744" s="19"/>
      <c r="L744" s="23"/>
      <c r="M744" s="23"/>
      <c r="O744" s="18"/>
    </row>
    <row r="745" spans="3:15" ht="18" customHeight="1" x14ac:dyDescent="0.3">
      <c r="C745" s="19"/>
      <c r="D745" s="19"/>
      <c r="E745" s="19"/>
      <c r="F745" s="20"/>
      <c r="G745" s="20"/>
      <c r="H745" s="21"/>
      <c r="I745" s="22"/>
      <c r="J745" s="21"/>
      <c r="K745" s="19"/>
      <c r="L745" s="23"/>
      <c r="M745" s="23"/>
      <c r="O745" s="18"/>
    </row>
    <row r="746" spans="3:15" ht="18" customHeight="1" x14ac:dyDescent="0.3">
      <c r="C746" s="19"/>
      <c r="D746" s="19"/>
      <c r="E746" s="19"/>
      <c r="F746" s="20"/>
      <c r="G746" s="20"/>
      <c r="H746" s="21"/>
      <c r="I746" s="22"/>
      <c r="J746" s="21"/>
      <c r="K746" s="19"/>
      <c r="L746" s="23"/>
      <c r="M746" s="23"/>
      <c r="O746" s="18"/>
    </row>
    <row r="747" spans="3:15" ht="18" customHeight="1" x14ac:dyDescent="0.3">
      <c r="C747" s="19"/>
      <c r="D747" s="19"/>
      <c r="E747" s="19"/>
      <c r="F747" s="20"/>
      <c r="G747" s="20"/>
      <c r="H747" s="21"/>
      <c r="I747" s="22"/>
      <c r="J747" s="21"/>
      <c r="K747" s="19"/>
      <c r="L747" s="23"/>
      <c r="M747" s="23"/>
      <c r="O747" s="18"/>
    </row>
    <row r="748" spans="3:15" ht="18" customHeight="1" x14ac:dyDescent="0.3">
      <c r="C748" s="19"/>
      <c r="D748" s="19"/>
      <c r="E748" s="19"/>
      <c r="F748" s="20"/>
      <c r="G748" s="20"/>
      <c r="H748" s="21"/>
      <c r="I748" s="22"/>
      <c r="J748" s="21"/>
      <c r="K748" s="19"/>
      <c r="L748" s="23"/>
      <c r="M748" s="23"/>
      <c r="O748" s="18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7BCC9-364F-425C-8EF3-26FD25504940}">
  <sheetPr codeName="Planilha3"/>
  <dimension ref="A1:DP61"/>
  <sheetViews>
    <sheetView showGridLines="0" showRowColHeaders="0" workbookViewId="0">
      <selection activeCell="E25" sqref="E25"/>
    </sheetView>
  </sheetViews>
  <sheetFormatPr defaultRowHeight="18" customHeight="1" x14ac:dyDescent="0.3"/>
  <cols>
    <col min="1" max="2" width="4.33203125" style="19" customWidth="1"/>
    <col min="3" max="3" width="18" style="19" customWidth="1"/>
    <col min="4" max="4" width="3.77734375" style="19" customWidth="1"/>
    <col min="5" max="5" width="27" style="19" bestFit="1" customWidth="1"/>
    <col min="6" max="6" width="3.77734375" style="19" customWidth="1"/>
    <col min="7" max="7" width="28" style="19" bestFit="1" customWidth="1"/>
    <col min="8" max="8" width="15.5546875" style="19" bestFit="1" customWidth="1"/>
    <col min="9" max="9" width="1.33203125" style="19" customWidth="1"/>
    <col min="10" max="13" width="8.88671875" style="19"/>
    <col min="14" max="14" width="3.77734375" style="19" customWidth="1"/>
    <col min="15" max="15" width="18.5546875" style="19" bestFit="1" customWidth="1"/>
    <col min="16" max="16" width="27.6640625" style="19" bestFit="1" customWidth="1"/>
    <col min="17" max="17" width="1.6640625" style="19" customWidth="1"/>
    <col min="18" max="18" width="13.88671875" style="19" bestFit="1" customWidth="1"/>
    <col min="19" max="21" width="8.88671875" style="19"/>
    <col min="22" max="22" width="3.77734375" style="19" customWidth="1"/>
    <col min="23" max="23" width="34.21875" style="19" bestFit="1" customWidth="1"/>
    <col min="24" max="24" width="24.33203125" style="19" bestFit="1" customWidth="1"/>
    <col min="25" max="25" width="3.77734375" style="19" customWidth="1"/>
    <col min="26" max="26" width="27.109375" style="19" bestFit="1" customWidth="1"/>
    <col min="27" max="27" width="24.33203125" style="19" bestFit="1" customWidth="1"/>
    <col min="28" max="28" width="2.5546875" style="19" customWidth="1"/>
    <col min="29" max="29" width="18.6640625" style="19" bestFit="1" customWidth="1"/>
    <col min="30" max="32" width="8.88671875" style="19"/>
    <col min="33" max="33" width="3.77734375" style="19" customWidth="1"/>
    <col min="34" max="34" width="17.21875" style="19" bestFit="1" customWidth="1"/>
    <col min="35" max="35" width="19" style="19" bestFit="1" customWidth="1"/>
    <col min="36" max="36" width="3.109375" style="19" customWidth="1"/>
    <col min="37" max="38" width="8.88671875" style="19"/>
    <col min="39" max="39" width="10.33203125" style="19" customWidth="1"/>
    <col min="40" max="40" width="8.88671875" style="19"/>
    <col min="41" max="41" width="10" style="19" customWidth="1"/>
    <col min="42" max="42" width="10.88671875" style="19" customWidth="1"/>
    <col min="43" max="43" width="2.44140625" style="19" customWidth="1"/>
    <col min="44" max="44" width="20.109375" style="19" bestFit="1" customWidth="1"/>
    <col min="45" max="45" width="3.77734375" style="19" customWidth="1"/>
    <col min="46" max="46" width="17.21875" style="19" bestFit="1" customWidth="1"/>
    <col min="47" max="47" width="1.5546875" style="19" customWidth="1"/>
    <col min="48" max="48" width="19.88671875" style="19" bestFit="1" customWidth="1"/>
    <col min="49" max="49" width="11.77734375" style="19" bestFit="1" customWidth="1"/>
    <col min="50" max="50" width="3.77734375" style="19" customWidth="1"/>
    <col min="51" max="51" width="16.33203125" style="19" bestFit="1" customWidth="1"/>
    <col min="52" max="52" width="27.6640625" style="19" bestFit="1" customWidth="1"/>
    <col min="53" max="53" width="3.77734375" style="19" customWidth="1"/>
    <col min="54" max="54" width="17.21875" style="19" bestFit="1" customWidth="1"/>
    <col min="55" max="55" width="27.6640625" style="19" bestFit="1" customWidth="1"/>
    <col min="56" max="56" width="3.77734375" style="19" customWidth="1"/>
    <col min="57" max="57" width="17.21875" style="19" bestFit="1" customWidth="1"/>
    <col min="58" max="58" width="19.44140625" style="19" bestFit="1" customWidth="1"/>
    <col min="59" max="59" width="3.77734375" style="19" customWidth="1"/>
    <col min="60" max="60" width="17.21875" style="19" bestFit="1" customWidth="1"/>
    <col min="61" max="61" width="16.33203125" style="19" bestFit="1" customWidth="1"/>
    <col min="62" max="62" width="2.109375" style="19" customWidth="1"/>
    <col min="63" max="64" width="8.88671875" style="19"/>
    <col min="65" max="65" width="3.77734375" style="19" customWidth="1"/>
    <col min="66" max="66" width="17.21875" style="19" bestFit="1" customWidth="1"/>
    <col min="67" max="67" width="24.33203125" style="19" bestFit="1" customWidth="1"/>
    <col min="68" max="68" width="8.88671875" style="19"/>
    <col min="69" max="69" width="21" style="19" bestFit="1" customWidth="1"/>
    <col min="70" max="70" width="2.21875" style="19" customWidth="1"/>
    <col min="71" max="71" width="8.88671875" style="19"/>
    <col min="72" max="72" width="10.77734375" style="19" bestFit="1" customWidth="1"/>
    <col min="73" max="16384" width="8.88671875" style="19"/>
  </cols>
  <sheetData>
    <row r="1" spans="1:120" s="25" customFormat="1" ht="35.4" customHeight="1" x14ac:dyDescent="0.3">
      <c r="A1" s="62"/>
      <c r="B1" s="62"/>
      <c r="C1" s="63" t="s">
        <v>142</v>
      </c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2"/>
      <c r="CP1" s="62"/>
      <c r="CQ1" s="62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2"/>
      <c r="DK1" s="62"/>
      <c r="DL1" s="62"/>
      <c r="DM1" s="62"/>
      <c r="DN1" s="62"/>
      <c r="DO1" s="62"/>
      <c r="DP1" s="62"/>
    </row>
    <row r="2" spans="1:120" s="26" customFormat="1" ht="4.2" customHeight="1" x14ac:dyDescent="0.3"/>
    <row r="4" spans="1:120" ht="18" customHeight="1" x14ac:dyDescent="0.3">
      <c r="C4" s="65" t="s">
        <v>125</v>
      </c>
      <c r="D4" s="65"/>
      <c r="E4" s="65"/>
      <c r="F4" s="65"/>
      <c r="G4" s="65"/>
      <c r="H4" s="65"/>
      <c r="I4" s="65"/>
      <c r="J4" s="65"/>
      <c r="K4" s="65" t="s">
        <v>125</v>
      </c>
      <c r="L4" s="65"/>
      <c r="M4" s="65"/>
      <c r="N4" s="65"/>
      <c r="O4" s="65"/>
      <c r="P4" s="65"/>
      <c r="Q4" s="65"/>
      <c r="R4" s="65"/>
      <c r="S4" s="65" t="s">
        <v>125</v>
      </c>
      <c r="T4" s="65"/>
      <c r="U4" s="65"/>
      <c r="V4" s="65"/>
      <c r="W4" s="65"/>
      <c r="X4" s="65"/>
      <c r="Y4" s="65"/>
      <c r="Z4" s="65"/>
      <c r="AA4" s="65" t="s">
        <v>125</v>
      </c>
      <c r="AB4" s="65"/>
      <c r="AC4" s="65"/>
      <c r="AD4" s="65"/>
      <c r="AE4" s="65"/>
      <c r="AF4" s="65"/>
      <c r="AG4" s="65"/>
      <c r="AH4" s="65"/>
      <c r="AI4" s="65"/>
      <c r="AJ4" s="65"/>
      <c r="AK4" s="65"/>
      <c r="AL4" s="65"/>
      <c r="AM4" s="65"/>
      <c r="AO4" s="66" t="s">
        <v>138</v>
      </c>
      <c r="AP4" s="66"/>
      <c r="AQ4" s="66"/>
      <c r="AR4" s="66"/>
      <c r="AS4" s="66"/>
      <c r="AT4" s="66"/>
      <c r="AU4" s="66"/>
      <c r="AV4" s="66"/>
      <c r="AW4" s="66" t="s">
        <v>138</v>
      </c>
      <c r="AX4" s="66"/>
      <c r="AY4" s="66"/>
      <c r="AZ4" s="66"/>
      <c r="BA4" s="66"/>
      <c r="BB4" s="66"/>
      <c r="BC4" s="66"/>
      <c r="BD4" s="66"/>
      <c r="BE4" s="66" t="s">
        <v>138</v>
      </c>
      <c r="BF4" s="66"/>
      <c r="BG4" s="66"/>
      <c r="BH4" s="66"/>
      <c r="BI4" s="66"/>
      <c r="BJ4" s="66"/>
      <c r="BK4" s="66"/>
      <c r="BL4" s="66"/>
      <c r="BM4" s="66" t="s">
        <v>138</v>
      </c>
      <c r="BN4" s="66"/>
      <c r="BO4" s="66"/>
      <c r="BP4" s="66"/>
      <c r="BQ4" s="66"/>
      <c r="BR4" s="66"/>
      <c r="BS4" s="66"/>
      <c r="BT4" s="66"/>
    </row>
    <row r="5" spans="1:120" ht="9.6" customHeight="1" x14ac:dyDescent="0.3"/>
    <row r="6" spans="1:120" ht="14.4" x14ac:dyDescent="0.3">
      <c r="C6" s="29" t="s">
        <v>100</v>
      </c>
      <c r="E6" s="29" t="s">
        <v>102</v>
      </c>
      <c r="G6" s="65" t="s">
        <v>104</v>
      </c>
      <c r="H6" s="65"/>
      <c r="I6" s="65"/>
      <c r="J6" s="65"/>
      <c r="K6" s="65"/>
      <c r="L6" s="65"/>
      <c r="M6" s="65"/>
      <c r="O6" s="65" t="s">
        <v>2</v>
      </c>
      <c r="P6" s="65"/>
      <c r="Q6" s="65"/>
      <c r="R6" s="65"/>
      <c r="S6" s="65"/>
      <c r="T6" s="65"/>
      <c r="U6" s="65"/>
      <c r="W6" s="65" t="s">
        <v>111</v>
      </c>
      <c r="X6" s="65"/>
      <c r="Z6" s="65" t="s">
        <v>112</v>
      </c>
      <c r="AA6" s="65"/>
      <c r="AB6" s="65"/>
      <c r="AC6" s="65"/>
      <c r="AD6" s="65"/>
      <c r="AE6" s="65"/>
      <c r="AF6" s="65"/>
      <c r="AH6" s="65" t="s">
        <v>98</v>
      </c>
      <c r="AI6" s="65"/>
      <c r="AJ6" s="65"/>
      <c r="AK6" s="65"/>
      <c r="AL6" s="65"/>
      <c r="AM6" s="65"/>
      <c r="AO6" s="65" t="s">
        <v>141</v>
      </c>
      <c r="AP6" s="65"/>
      <c r="AQ6" s="65"/>
      <c r="AR6" s="65"/>
      <c r="AT6" s="65" t="s">
        <v>135</v>
      </c>
      <c r="AU6" s="65"/>
      <c r="AV6" s="65"/>
      <c r="AW6" s="65"/>
      <c r="AY6" s="65" t="s">
        <v>136</v>
      </c>
      <c r="AZ6" s="65"/>
      <c r="BB6" s="65" t="s">
        <v>137</v>
      </c>
      <c r="BC6" s="65"/>
      <c r="BE6" s="65" t="s">
        <v>139</v>
      </c>
      <c r="BF6" s="65"/>
      <c r="BH6" s="65" t="s">
        <v>98</v>
      </c>
      <c r="BI6" s="65"/>
      <c r="BJ6" s="65"/>
      <c r="BK6" s="65"/>
      <c r="BL6" s="65"/>
      <c r="BN6" s="65" t="s">
        <v>119</v>
      </c>
      <c r="BO6" s="65"/>
      <c r="BQ6" s="65" t="s">
        <v>126</v>
      </c>
      <c r="BR6" s="65"/>
      <c r="BS6" s="65"/>
      <c r="BT6" s="65"/>
    </row>
    <row r="7" spans="1:120" ht="8.4" customHeight="1" x14ac:dyDescent="0.3"/>
    <row r="8" spans="1:120" ht="14.4" x14ac:dyDescent="0.3">
      <c r="C8" s="30" t="s">
        <v>101</v>
      </c>
      <c r="D8"/>
      <c r="E8" t="s">
        <v>105</v>
      </c>
      <c r="F8"/>
      <c r="G8" s="30" t="s">
        <v>101</v>
      </c>
      <c r="H8" t="s">
        <v>106</v>
      </c>
      <c r="J8" s="29" t="s">
        <v>46</v>
      </c>
      <c r="K8" s="29" t="s">
        <v>107</v>
      </c>
      <c r="L8" s="29" t="s">
        <v>108</v>
      </c>
      <c r="O8" s="30" t="s">
        <v>101</v>
      </c>
      <c r="P8" t="s">
        <v>109</v>
      </c>
      <c r="R8" s="29" t="s">
        <v>110</v>
      </c>
      <c r="S8" s="29" t="s">
        <v>107</v>
      </c>
      <c r="T8" s="29" t="s">
        <v>108</v>
      </c>
      <c r="W8" s="46"/>
      <c r="X8" s="47"/>
      <c r="Y8" s="48"/>
      <c r="Z8" s="46"/>
      <c r="AA8" s="47"/>
      <c r="AB8" s="48"/>
      <c r="AC8" s="29" t="s">
        <v>1</v>
      </c>
      <c r="AD8" s="29" t="s">
        <v>107</v>
      </c>
      <c r="AE8" s="29" t="s">
        <v>108</v>
      </c>
      <c r="AH8" s="30" t="s">
        <v>101</v>
      </c>
      <c r="AI8" t="s">
        <v>103</v>
      </c>
      <c r="AK8" s="29" t="s">
        <v>49</v>
      </c>
      <c r="AL8" s="29" t="s">
        <v>107</v>
      </c>
      <c r="AM8" s="29" t="s">
        <v>115</v>
      </c>
      <c r="AO8"/>
      <c r="AP8"/>
      <c r="AQ8" s="40"/>
      <c r="AR8" s="40" t="e">
        <f>VLOOKUP(AP14,tab_Estados[[Sigla]:[Setores]],2,FALSE)</f>
        <v>#N/A</v>
      </c>
      <c r="AS8" s="40"/>
      <c r="AT8" t="s">
        <v>103</v>
      </c>
      <c r="AU8"/>
      <c r="AV8" s="36" t="s">
        <v>120</v>
      </c>
      <c r="AW8" s="36" t="s">
        <v>121</v>
      </c>
      <c r="AX8"/>
      <c r="AY8" s="30" t="s">
        <v>101</v>
      </c>
      <c r="AZ8" t="s">
        <v>109</v>
      </c>
      <c r="BA8"/>
      <c r="BB8" s="30" t="s">
        <v>101</v>
      </c>
      <c r="BC8" t="s">
        <v>122</v>
      </c>
      <c r="BD8"/>
      <c r="BE8" s="46"/>
      <c r="BF8" s="47"/>
      <c r="BG8" s="48"/>
      <c r="BH8" s="30" t="s">
        <v>101</v>
      </c>
      <c r="BI8" t="s">
        <v>103</v>
      </c>
      <c r="BJ8" s="40"/>
      <c r="BK8" s="41" t="s">
        <v>49</v>
      </c>
      <c r="BL8" s="41" t="s">
        <v>107</v>
      </c>
      <c r="BM8" s="40"/>
      <c r="BN8" s="46"/>
      <c r="BO8" s="47"/>
      <c r="BP8" s="48"/>
      <c r="BQ8" s="42" t="s">
        <v>118</v>
      </c>
      <c r="BR8" s="40"/>
      <c r="BS8" s="42" t="s">
        <v>123</v>
      </c>
      <c r="BT8" s="42" t="s">
        <v>124</v>
      </c>
    </row>
    <row r="9" spans="1:120" ht="16.8" x14ac:dyDescent="0.3">
      <c r="C9" s="31">
        <v>2025</v>
      </c>
      <c r="D9"/>
      <c r="E9" s="32">
        <v>2</v>
      </c>
      <c r="F9"/>
      <c r="G9" s="34" t="s">
        <v>47</v>
      </c>
      <c r="H9" s="32">
        <v>1</v>
      </c>
      <c r="J9" s="19" t="s">
        <v>47</v>
      </c>
      <c r="K9" s="19">
        <f t="shared" ref="K9:K10" si="0">IFERROR(VLOOKUP(J9,$G$9:$H$10,2,FALSE),0)</f>
        <v>1</v>
      </c>
      <c r="L9" s="35">
        <f t="shared" ref="L9:L10" si="1">K9/SUM($K$9:$K$10)</f>
        <v>0.5</v>
      </c>
      <c r="M9" s="38">
        <f>1-L9</f>
        <v>0.5</v>
      </c>
      <c r="O9" s="34" t="s">
        <v>17</v>
      </c>
      <c r="P9" s="32">
        <v>2</v>
      </c>
      <c r="R9" s="19" t="s">
        <v>17</v>
      </c>
      <c r="S9" s="23">
        <f t="shared" ref="S9:S10" si="2">IFERROR(VLOOKUP(R9,$O$9:$P$10,2,FALSE),0)</f>
        <v>2</v>
      </c>
      <c r="T9" s="35">
        <f t="shared" ref="T9:T10" si="3">S9/SUM($S$9:$S$10)</f>
        <v>1</v>
      </c>
      <c r="U9" s="38">
        <f>1-T9</f>
        <v>0</v>
      </c>
      <c r="W9" s="49"/>
      <c r="X9" s="50"/>
      <c r="Y9" s="51"/>
      <c r="Z9" s="49"/>
      <c r="AA9" s="50"/>
      <c r="AB9" s="51"/>
      <c r="AC9" s="19" t="s">
        <v>16</v>
      </c>
      <c r="AD9" s="19">
        <f t="shared" ref="AD9:AD11" si="4">IFERROR(VLOOKUP(AC9,$Z$9:$AA$11,2,FALSE),0)</f>
        <v>0</v>
      </c>
      <c r="AE9" s="35" t="e">
        <f t="shared" ref="AE9:AE11" si="5">AD9/SUM($AD$9:$AD$11)</f>
        <v>#DIV/0!</v>
      </c>
      <c r="AF9" s="38" t="e">
        <f t="shared" ref="AF9:AF11" si="6">1-AE9</f>
        <v>#DIV/0!</v>
      </c>
      <c r="AH9" s="34" t="s">
        <v>57</v>
      </c>
      <c r="AI9" s="32">
        <v>2</v>
      </c>
      <c r="AK9" s="19" t="s">
        <v>56</v>
      </c>
      <c r="AL9" s="23" t="e">
        <f t="shared" ref="AL9:AL20" si="7">IFERROR(VLOOKUP(AK9,$AH$9:$AI$20,2,FALSE),NA())</f>
        <v>#N/A</v>
      </c>
      <c r="AM9" s="19" t="e">
        <f t="shared" ref="AM9:AM20" si="8">IF(AL9=MAX($AL$9:$AL$20),AL9,NA())</f>
        <v>#N/A</v>
      </c>
      <c r="AO9"/>
      <c r="AP9"/>
      <c r="AT9" s="32">
        <v>2</v>
      </c>
      <c r="AU9"/>
      <c r="AV9">
        <f>E9</f>
        <v>2</v>
      </c>
      <c r="AW9" s="44">
        <f>AT9/AV9</f>
        <v>1</v>
      </c>
      <c r="AX9"/>
      <c r="AY9" s="34" t="s">
        <v>17</v>
      </c>
      <c r="AZ9" s="32">
        <v>2</v>
      </c>
      <c r="BA9"/>
      <c r="BB9" s="34" t="s">
        <v>134</v>
      </c>
      <c r="BC9" s="32"/>
      <c r="BD9"/>
      <c r="BE9" s="49"/>
      <c r="BF9" s="50"/>
      <c r="BG9" s="51"/>
      <c r="BH9" s="34" t="s">
        <v>57</v>
      </c>
      <c r="BI9" s="32">
        <v>2</v>
      </c>
      <c r="BK9" s="19" t="s">
        <v>56</v>
      </c>
      <c r="BL9" s="23">
        <f t="shared" ref="BL9:BL20" si="9">IFERROR(VLOOKUP(BK9,$BH$9:$BI$20,2,FALSE),0)</f>
        <v>0</v>
      </c>
      <c r="BN9" s="49"/>
      <c r="BO9" s="50"/>
      <c r="BP9" s="51"/>
      <c r="BQ9" s="23">
        <f>AP8</f>
        <v>0</v>
      </c>
      <c r="BS9" s="5" t="s">
        <v>31</v>
      </c>
      <c r="BT9" s="23">
        <f t="shared" ref="BT9:BT35" si="10">IF(BS9=$BQ$9,1,0)</f>
        <v>0</v>
      </c>
    </row>
    <row r="10" spans="1:120" ht="16.8" x14ac:dyDescent="0.3">
      <c r="C10" s="31" t="s">
        <v>134</v>
      </c>
      <c r="D10"/>
      <c r="E10"/>
      <c r="F10"/>
      <c r="G10" s="34" t="s">
        <v>145</v>
      </c>
      <c r="H10" s="32">
        <v>1</v>
      </c>
      <c r="J10" s="19" t="s">
        <v>48</v>
      </c>
      <c r="K10" s="19">
        <f t="shared" si="0"/>
        <v>1</v>
      </c>
      <c r="L10" s="35">
        <f t="shared" si="1"/>
        <v>0.5</v>
      </c>
      <c r="M10" s="38">
        <f>1-L10</f>
        <v>0.5</v>
      </c>
      <c r="O10" s="34" t="s">
        <v>134</v>
      </c>
      <c r="P10" s="32"/>
      <c r="R10" s="19" t="s">
        <v>18</v>
      </c>
      <c r="S10" s="23">
        <f t="shared" si="2"/>
        <v>0</v>
      </c>
      <c r="T10" s="35">
        <f t="shared" si="3"/>
        <v>0</v>
      </c>
      <c r="U10" s="38">
        <f>1-T10</f>
        <v>1</v>
      </c>
      <c r="W10" s="49"/>
      <c r="X10" s="50"/>
      <c r="Y10" s="51"/>
      <c r="Z10" s="49"/>
      <c r="AA10" s="50"/>
      <c r="AB10" s="51"/>
      <c r="AC10" s="19" t="s">
        <v>113</v>
      </c>
      <c r="AD10" s="19">
        <f t="shared" si="4"/>
        <v>0</v>
      </c>
      <c r="AE10" s="35" t="e">
        <f t="shared" si="5"/>
        <v>#DIV/0!</v>
      </c>
      <c r="AF10" s="38" t="e">
        <f t="shared" si="6"/>
        <v>#DIV/0!</v>
      </c>
      <c r="AH10" s="34" t="s">
        <v>134</v>
      </c>
      <c r="AI10" s="32"/>
      <c r="AK10" s="19" t="s">
        <v>58</v>
      </c>
      <c r="AL10" s="23" t="e">
        <f t="shared" si="7"/>
        <v>#N/A</v>
      </c>
      <c r="AM10" s="19" t="e">
        <f t="shared" si="8"/>
        <v>#N/A</v>
      </c>
      <c r="AO10" s="46"/>
      <c r="AP10" s="47"/>
      <c r="AQ10" s="48"/>
      <c r="AT10"/>
      <c r="AU10"/>
      <c r="AV10"/>
      <c r="AW10"/>
      <c r="AX10"/>
      <c r="AY10"/>
      <c r="AZ10"/>
      <c r="BA10"/>
      <c r="BB10" s="34" t="s">
        <v>145</v>
      </c>
      <c r="BC10" s="32">
        <v>1</v>
      </c>
      <c r="BD10"/>
      <c r="BE10" s="49"/>
      <c r="BF10" s="50"/>
      <c r="BG10" s="51"/>
      <c r="BH10" s="34" t="s">
        <v>134</v>
      </c>
      <c r="BI10" s="32"/>
      <c r="BK10" s="19" t="s">
        <v>58</v>
      </c>
      <c r="BL10" s="23">
        <f t="shared" si="9"/>
        <v>0</v>
      </c>
      <c r="BN10" s="49"/>
      <c r="BO10" s="50"/>
      <c r="BP10" s="51"/>
      <c r="BS10" s="5" t="s">
        <v>36</v>
      </c>
      <c r="BT10" s="23">
        <f t="shared" si="10"/>
        <v>0</v>
      </c>
    </row>
    <row r="11" spans="1:120" ht="16.8" x14ac:dyDescent="0.3">
      <c r="C11"/>
      <c r="D11"/>
      <c r="E11"/>
      <c r="F11"/>
      <c r="G11" s="34" t="s">
        <v>134</v>
      </c>
      <c r="H11" s="32"/>
      <c r="W11" s="49"/>
      <c r="X11" s="50"/>
      <c r="Y11" s="51"/>
      <c r="Z11" s="49"/>
      <c r="AA11" s="50"/>
      <c r="AB11" s="51"/>
      <c r="AC11" s="19" t="s">
        <v>114</v>
      </c>
      <c r="AD11" s="19">
        <f t="shared" si="4"/>
        <v>0</v>
      </c>
      <c r="AE11" s="35" t="e">
        <f t="shared" si="5"/>
        <v>#DIV/0!</v>
      </c>
      <c r="AF11" s="38" t="e">
        <f t="shared" si="6"/>
        <v>#DIV/0!</v>
      </c>
      <c r="AH11"/>
      <c r="AI11"/>
      <c r="AK11" s="19" t="s">
        <v>60</v>
      </c>
      <c r="AL11" s="23" t="e">
        <f t="shared" si="7"/>
        <v>#N/A</v>
      </c>
      <c r="AM11" s="19" t="e">
        <f t="shared" si="8"/>
        <v>#N/A</v>
      </c>
      <c r="AO11" s="49"/>
      <c r="AP11" s="50"/>
      <c r="AQ11" s="51"/>
      <c r="AT11"/>
      <c r="AU11"/>
      <c r="AV11"/>
      <c r="AW11"/>
      <c r="AX11"/>
      <c r="AY11"/>
      <c r="AZ11"/>
      <c r="BA11"/>
      <c r="BB11" s="34" t="s">
        <v>47</v>
      </c>
      <c r="BC11" s="32">
        <v>1</v>
      </c>
      <c r="BD11"/>
      <c r="BE11" s="49"/>
      <c r="BF11" s="50"/>
      <c r="BG11" s="51"/>
      <c r="BH11"/>
      <c r="BI11"/>
      <c r="BK11" s="19" t="s">
        <v>60</v>
      </c>
      <c r="BL11" s="23">
        <f t="shared" si="9"/>
        <v>0</v>
      </c>
      <c r="BN11" s="49"/>
      <c r="BO11" s="50"/>
      <c r="BP11" s="51"/>
      <c r="BS11" s="5" t="s">
        <v>42</v>
      </c>
      <c r="BT11" s="23">
        <f t="shared" si="10"/>
        <v>0</v>
      </c>
    </row>
    <row r="12" spans="1:120" ht="16.8" x14ac:dyDescent="0.3">
      <c r="C12"/>
      <c r="D12"/>
      <c r="E12"/>
      <c r="F12"/>
      <c r="G12"/>
      <c r="R12" s="19" t="str">
        <f>R9</f>
        <v>Sim</v>
      </c>
      <c r="S12" s="37">
        <f>T9</f>
        <v>1</v>
      </c>
      <c r="W12" s="49"/>
      <c r="X12" s="50"/>
      <c r="Y12" s="51"/>
      <c r="Z12" s="49"/>
      <c r="AA12" s="50"/>
      <c r="AB12" s="51"/>
      <c r="AH12"/>
      <c r="AI12"/>
      <c r="AK12" s="19" t="s">
        <v>59</v>
      </c>
      <c r="AL12" s="23" t="e">
        <f t="shared" si="7"/>
        <v>#N/A</v>
      </c>
      <c r="AM12" s="19" t="e">
        <f t="shared" si="8"/>
        <v>#N/A</v>
      </c>
      <c r="AO12" s="49"/>
      <c r="AP12" s="50"/>
      <c r="AQ12" s="51"/>
      <c r="AT12"/>
      <c r="AU12"/>
      <c r="AV12"/>
      <c r="AW12"/>
      <c r="AX12"/>
      <c r="AY12"/>
      <c r="AZ12"/>
      <c r="BA12"/>
      <c r="BB12"/>
      <c r="BC12"/>
      <c r="BD12"/>
      <c r="BE12" s="49"/>
      <c r="BF12" s="50"/>
      <c r="BG12" s="51"/>
      <c r="BH12"/>
      <c r="BI12"/>
      <c r="BK12" s="19" t="s">
        <v>59</v>
      </c>
      <c r="BL12" s="23">
        <f t="shared" si="9"/>
        <v>0</v>
      </c>
      <c r="BN12" s="49"/>
      <c r="BO12" s="50"/>
      <c r="BP12" s="51"/>
      <c r="BS12" s="5" t="s">
        <v>44</v>
      </c>
      <c r="BT12" s="23">
        <f t="shared" si="10"/>
        <v>0</v>
      </c>
    </row>
    <row r="13" spans="1:120" ht="16.8" x14ac:dyDescent="0.3">
      <c r="C13"/>
      <c r="D13"/>
      <c r="E13"/>
      <c r="F13"/>
      <c r="G13"/>
      <c r="S13" s="37">
        <v>1</v>
      </c>
      <c r="W13" s="49"/>
      <c r="X13" s="50"/>
      <c r="Y13" s="51"/>
      <c r="Z13" s="49"/>
      <c r="AA13" s="50"/>
      <c r="AB13" s="51"/>
      <c r="AH13"/>
      <c r="AI13"/>
      <c r="AK13" s="19" t="s">
        <v>54</v>
      </c>
      <c r="AL13" s="23" t="e">
        <f t="shared" si="7"/>
        <v>#N/A</v>
      </c>
      <c r="AM13" s="19" t="e">
        <f t="shared" si="8"/>
        <v>#N/A</v>
      </c>
      <c r="AO13" s="49"/>
      <c r="AP13" s="50"/>
      <c r="AQ13" s="51"/>
      <c r="AT13"/>
      <c r="AU13"/>
      <c r="AV13"/>
      <c r="AW13"/>
      <c r="AX13"/>
      <c r="AY13"/>
      <c r="AZ13"/>
      <c r="BA13"/>
      <c r="BB13"/>
      <c r="BC13"/>
      <c r="BD13"/>
      <c r="BE13" s="49"/>
      <c r="BF13" s="50"/>
      <c r="BG13" s="51"/>
      <c r="BH13"/>
      <c r="BI13"/>
      <c r="BK13" s="19" t="s">
        <v>54</v>
      </c>
      <c r="BL13" s="23">
        <f t="shared" si="9"/>
        <v>0</v>
      </c>
      <c r="BN13" s="49"/>
      <c r="BO13" s="50"/>
      <c r="BP13" s="51"/>
      <c r="BS13" s="5" t="s">
        <v>33</v>
      </c>
      <c r="BT13" s="23">
        <f t="shared" si="10"/>
        <v>0</v>
      </c>
    </row>
    <row r="14" spans="1:120" ht="16.8" x14ac:dyDescent="0.3">
      <c r="C14"/>
      <c r="D14"/>
      <c r="E14"/>
      <c r="F14"/>
      <c r="G14"/>
      <c r="W14" s="49"/>
      <c r="X14" s="50"/>
      <c r="Y14" s="51"/>
      <c r="Z14" s="49"/>
      <c r="AA14" s="50"/>
      <c r="AB14" s="51"/>
      <c r="AH14"/>
      <c r="AI14"/>
      <c r="AK14" s="19" t="s">
        <v>52</v>
      </c>
      <c r="AL14" s="23" t="e">
        <f t="shared" si="7"/>
        <v>#N/A</v>
      </c>
      <c r="AM14" s="19" t="e">
        <f t="shared" si="8"/>
        <v>#N/A</v>
      </c>
      <c r="AO14" s="49"/>
      <c r="AP14" s="50"/>
      <c r="AQ14" s="51"/>
      <c r="AT14"/>
      <c r="AU14"/>
      <c r="AV14"/>
      <c r="AW14"/>
      <c r="AX14"/>
      <c r="AY14"/>
      <c r="AZ14"/>
      <c r="BA14"/>
      <c r="BB14"/>
      <c r="BC14"/>
      <c r="BD14"/>
      <c r="BE14" s="49"/>
      <c r="BF14" s="50"/>
      <c r="BG14" s="51"/>
      <c r="BH14"/>
      <c r="BI14"/>
      <c r="BK14" s="19" t="s">
        <v>52</v>
      </c>
      <c r="BL14" s="23">
        <f t="shared" si="9"/>
        <v>0</v>
      </c>
      <c r="BN14" s="49"/>
      <c r="BO14" s="50"/>
      <c r="BP14" s="51"/>
      <c r="BS14" s="5" t="s">
        <v>39</v>
      </c>
      <c r="BT14" s="23">
        <f t="shared" si="10"/>
        <v>0</v>
      </c>
    </row>
    <row r="15" spans="1:120" ht="16.8" x14ac:dyDescent="0.3">
      <c r="C15"/>
      <c r="D15"/>
      <c r="E15"/>
      <c r="F15"/>
      <c r="G15"/>
      <c r="W15" s="49"/>
      <c r="X15" s="50"/>
      <c r="Y15" s="51"/>
      <c r="Z15" s="49"/>
      <c r="AA15" s="50"/>
      <c r="AB15" s="51"/>
      <c r="AH15"/>
      <c r="AI15"/>
      <c r="AK15" s="19" t="s">
        <v>53</v>
      </c>
      <c r="AL15" s="23" t="e">
        <f t="shared" si="7"/>
        <v>#N/A</v>
      </c>
      <c r="AM15" s="19" t="e">
        <f t="shared" si="8"/>
        <v>#N/A</v>
      </c>
      <c r="AO15" s="49"/>
      <c r="AP15" s="50"/>
      <c r="AQ15" s="51"/>
      <c r="AT15"/>
      <c r="AU15"/>
      <c r="AV15"/>
      <c r="AW15"/>
      <c r="AX15"/>
      <c r="AY15"/>
      <c r="AZ15"/>
      <c r="BA15"/>
      <c r="BB15"/>
      <c r="BC15"/>
      <c r="BD15"/>
      <c r="BE15" s="49"/>
      <c r="BF15" s="50"/>
      <c r="BG15" s="51"/>
      <c r="BH15"/>
      <c r="BI15"/>
      <c r="BK15" s="19" t="s">
        <v>53</v>
      </c>
      <c r="BL15" s="23">
        <f t="shared" si="9"/>
        <v>0</v>
      </c>
      <c r="BN15" s="49"/>
      <c r="BO15" s="50"/>
      <c r="BP15" s="51"/>
      <c r="BS15" s="5" t="s">
        <v>26</v>
      </c>
      <c r="BT15" s="23">
        <f t="shared" si="10"/>
        <v>0</v>
      </c>
    </row>
    <row r="16" spans="1:120" ht="16.8" x14ac:dyDescent="0.3">
      <c r="C16"/>
      <c r="D16"/>
      <c r="E16"/>
      <c r="F16"/>
      <c r="G16"/>
      <c r="W16" s="49"/>
      <c r="X16" s="50"/>
      <c r="Y16" s="51"/>
      <c r="Z16" s="49"/>
      <c r="AA16" s="50"/>
      <c r="AB16" s="51"/>
      <c r="AH16"/>
      <c r="AI16"/>
      <c r="AK16" s="19" t="s">
        <v>51</v>
      </c>
      <c r="AL16" s="23" t="e">
        <f t="shared" si="7"/>
        <v>#N/A</v>
      </c>
      <c r="AM16" s="19" t="e">
        <f t="shared" si="8"/>
        <v>#N/A</v>
      </c>
      <c r="AO16" s="49"/>
      <c r="AP16" s="50"/>
      <c r="AQ16" s="51"/>
      <c r="AT16"/>
      <c r="AU16"/>
      <c r="AV16"/>
      <c r="AW16"/>
      <c r="AX16"/>
      <c r="AY16"/>
      <c r="AZ16"/>
      <c r="BA16"/>
      <c r="BB16"/>
      <c r="BC16"/>
      <c r="BD16"/>
      <c r="BE16" s="49"/>
      <c r="BF16" s="50"/>
      <c r="BG16" s="51"/>
      <c r="BH16"/>
      <c r="BI16"/>
      <c r="BK16" s="19" t="s">
        <v>51</v>
      </c>
      <c r="BL16" s="23">
        <f t="shared" si="9"/>
        <v>0</v>
      </c>
      <c r="BN16" s="49"/>
      <c r="BO16" s="50"/>
      <c r="BP16" s="51"/>
      <c r="BS16" s="5" t="s">
        <v>21</v>
      </c>
      <c r="BT16" s="23">
        <f t="shared" si="10"/>
        <v>0</v>
      </c>
    </row>
    <row r="17" spans="3:72" ht="16.8" x14ac:dyDescent="0.3">
      <c r="C17"/>
      <c r="D17"/>
      <c r="E17"/>
      <c r="F17"/>
      <c r="G17"/>
      <c r="W17" s="49"/>
      <c r="X17" s="50"/>
      <c r="Y17" s="51"/>
      <c r="Z17" s="49"/>
      <c r="AA17" s="50"/>
      <c r="AB17" s="51"/>
      <c r="AH17"/>
      <c r="AI17"/>
      <c r="AK17" s="19" t="s">
        <v>62</v>
      </c>
      <c r="AL17" s="23" t="e">
        <f t="shared" si="7"/>
        <v>#N/A</v>
      </c>
      <c r="AM17" s="19" t="e">
        <f t="shared" si="8"/>
        <v>#N/A</v>
      </c>
      <c r="AO17" s="49"/>
      <c r="AP17" s="50"/>
      <c r="AQ17" s="51"/>
      <c r="AT17"/>
      <c r="AU17"/>
      <c r="AV17"/>
      <c r="AW17"/>
      <c r="AX17"/>
      <c r="AY17"/>
      <c r="AZ17"/>
      <c r="BA17"/>
      <c r="BB17"/>
      <c r="BC17"/>
      <c r="BD17"/>
      <c r="BE17" s="49"/>
      <c r="BF17" s="50"/>
      <c r="BG17" s="51"/>
      <c r="BH17"/>
      <c r="BI17"/>
      <c r="BK17" s="19" t="s">
        <v>62</v>
      </c>
      <c r="BL17" s="23">
        <f t="shared" si="9"/>
        <v>0</v>
      </c>
      <c r="BN17" s="49"/>
      <c r="BO17" s="50"/>
      <c r="BP17" s="51"/>
      <c r="BS17" s="5" t="s">
        <v>27</v>
      </c>
      <c r="BT17" s="23">
        <f t="shared" si="10"/>
        <v>0</v>
      </c>
    </row>
    <row r="18" spans="3:72" ht="16.8" x14ac:dyDescent="0.3">
      <c r="C18"/>
      <c r="D18"/>
      <c r="E18"/>
      <c r="F18"/>
      <c r="G18"/>
      <c r="W18" s="49"/>
      <c r="X18" s="50"/>
      <c r="Y18" s="51"/>
      <c r="Z18" s="49"/>
      <c r="AA18" s="50"/>
      <c r="AB18" s="51"/>
      <c r="AH18"/>
      <c r="AI18"/>
      <c r="AK18" s="19" t="s">
        <v>57</v>
      </c>
      <c r="AL18" s="23">
        <f t="shared" si="7"/>
        <v>2</v>
      </c>
      <c r="AM18" s="19" t="e">
        <f t="shared" si="8"/>
        <v>#N/A</v>
      </c>
      <c r="AO18" s="49"/>
      <c r="AP18" s="50"/>
      <c r="AQ18" s="51"/>
      <c r="AT18"/>
      <c r="AU18"/>
      <c r="AV18"/>
      <c r="AW18"/>
      <c r="AX18"/>
      <c r="AY18"/>
      <c r="AZ18"/>
      <c r="BA18"/>
      <c r="BB18"/>
      <c r="BC18"/>
      <c r="BD18"/>
      <c r="BE18" s="49"/>
      <c r="BF18" s="50"/>
      <c r="BG18" s="51"/>
      <c r="BH18"/>
      <c r="BI18"/>
      <c r="BK18" s="19" t="s">
        <v>57</v>
      </c>
      <c r="BL18" s="23">
        <f t="shared" si="9"/>
        <v>2</v>
      </c>
      <c r="BN18" s="49"/>
      <c r="BO18" s="50"/>
      <c r="BP18" s="51"/>
      <c r="BS18" s="5" t="s">
        <v>45</v>
      </c>
      <c r="BT18" s="23">
        <f t="shared" si="10"/>
        <v>0</v>
      </c>
    </row>
    <row r="19" spans="3:72" ht="16.8" x14ac:dyDescent="0.3">
      <c r="C19"/>
      <c r="D19"/>
      <c r="E19"/>
      <c r="F19"/>
      <c r="G19"/>
      <c r="W19" s="49"/>
      <c r="X19" s="50"/>
      <c r="Y19" s="51"/>
      <c r="Z19" s="49"/>
      <c r="AA19" s="50"/>
      <c r="AB19" s="51"/>
      <c r="AH19"/>
      <c r="AI19"/>
      <c r="AK19" s="19" t="s">
        <v>55</v>
      </c>
      <c r="AL19" s="23" t="e">
        <f t="shared" si="7"/>
        <v>#N/A</v>
      </c>
      <c r="AM19" s="19" t="e">
        <f t="shared" si="8"/>
        <v>#N/A</v>
      </c>
      <c r="AO19" s="49"/>
      <c r="AP19" s="50"/>
      <c r="AQ19" s="51"/>
      <c r="AT19"/>
      <c r="AU19"/>
      <c r="AV19"/>
      <c r="AW19"/>
      <c r="AX19"/>
      <c r="AY19"/>
      <c r="AZ19"/>
      <c r="BA19"/>
      <c r="BB19"/>
      <c r="BC19"/>
      <c r="BD19"/>
      <c r="BE19" s="49"/>
      <c r="BF19" s="50"/>
      <c r="BG19" s="51"/>
      <c r="BH19"/>
      <c r="BI19"/>
      <c r="BK19" s="19" t="s">
        <v>55</v>
      </c>
      <c r="BL19" s="23">
        <f t="shared" si="9"/>
        <v>0</v>
      </c>
      <c r="BN19" s="49"/>
      <c r="BO19" s="50"/>
      <c r="BP19" s="51"/>
      <c r="BS19" s="5" t="s">
        <v>22</v>
      </c>
      <c r="BT19" s="23">
        <f t="shared" si="10"/>
        <v>0</v>
      </c>
    </row>
    <row r="20" spans="3:72" ht="16.8" x14ac:dyDescent="0.3">
      <c r="C20"/>
      <c r="D20"/>
      <c r="E20"/>
      <c r="F20"/>
      <c r="G20"/>
      <c r="W20" s="49"/>
      <c r="X20" s="50"/>
      <c r="Y20" s="51"/>
      <c r="Z20" s="49"/>
      <c r="AA20" s="50"/>
      <c r="AB20" s="51"/>
      <c r="AH20"/>
      <c r="AI20"/>
      <c r="AK20" s="19" t="s">
        <v>61</v>
      </c>
      <c r="AL20" s="23" t="e">
        <f t="shared" si="7"/>
        <v>#N/A</v>
      </c>
      <c r="AM20" s="19" t="e">
        <f t="shared" si="8"/>
        <v>#N/A</v>
      </c>
      <c r="AO20" s="49"/>
      <c r="AP20" s="50"/>
      <c r="AQ20" s="51"/>
      <c r="AT20"/>
      <c r="AU20"/>
      <c r="AV20"/>
      <c r="AW20"/>
      <c r="AX20"/>
      <c r="AY20"/>
      <c r="AZ20"/>
      <c r="BA20"/>
      <c r="BB20"/>
      <c r="BC20"/>
      <c r="BD20"/>
      <c r="BE20" s="49"/>
      <c r="BF20" s="50"/>
      <c r="BG20" s="51"/>
      <c r="BH20"/>
      <c r="BI20"/>
      <c r="BK20" s="19" t="s">
        <v>61</v>
      </c>
      <c r="BL20" s="23">
        <f t="shared" si="9"/>
        <v>0</v>
      </c>
      <c r="BN20" s="49"/>
      <c r="BO20" s="50"/>
      <c r="BP20" s="51"/>
      <c r="BS20" s="5" t="s">
        <v>30</v>
      </c>
      <c r="BT20" s="23">
        <f t="shared" si="10"/>
        <v>0</v>
      </c>
    </row>
    <row r="21" spans="3:72" ht="16.8" x14ac:dyDescent="0.3">
      <c r="C21"/>
      <c r="D21"/>
      <c r="E21"/>
      <c r="F21"/>
      <c r="G21"/>
      <c r="W21" s="49"/>
      <c r="X21" s="50"/>
      <c r="Y21" s="51"/>
      <c r="Z21" s="49"/>
      <c r="AA21" s="50"/>
      <c r="AB21" s="51"/>
      <c r="AO21" s="49"/>
      <c r="AP21" s="50"/>
      <c r="AQ21" s="51"/>
      <c r="AT21"/>
      <c r="AU21"/>
      <c r="AV21"/>
      <c r="AW21"/>
      <c r="AX21"/>
      <c r="AY21"/>
      <c r="AZ21"/>
      <c r="BA21"/>
      <c r="BB21"/>
      <c r="BC21"/>
      <c r="BD21"/>
      <c r="BE21" s="49"/>
      <c r="BF21" s="50"/>
      <c r="BG21" s="51"/>
      <c r="BN21" s="49"/>
      <c r="BO21" s="50"/>
      <c r="BP21" s="51"/>
      <c r="BS21" s="5" t="s">
        <v>29</v>
      </c>
      <c r="BT21" s="23">
        <f t="shared" si="10"/>
        <v>0</v>
      </c>
    </row>
    <row r="22" spans="3:72" ht="16.8" x14ac:dyDescent="0.3">
      <c r="C22"/>
      <c r="D22"/>
      <c r="E22"/>
      <c r="F22"/>
      <c r="G22"/>
      <c r="W22" s="49"/>
      <c r="X22" s="50"/>
      <c r="Y22" s="51"/>
      <c r="Z22" s="49"/>
      <c r="AA22" s="50"/>
      <c r="AB22" s="51"/>
      <c r="AO22" s="49"/>
      <c r="AP22" s="50"/>
      <c r="AQ22" s="51"/>
      <c r="AT22"/>
      <c r="AU22"/>
      <c r="AV22"/>
      <c r="AW22"/>
      <c r="AX22"/>
      <c r="AY22"/>
      <c r="AZ22"/>
      <c r="BA22"/>
      <c r="BB22"/>
      <c r="BC22"/>
      <c r="BD22"/>
      <c r="BE22" s="49"/>
      <c r="BF22" s="50"/>
      <c r="BG22" s="51"/>
      <c r="BN22" s="49"/>
      <c r="BO22" s="50"/>
      <c r="BP22" s="51"/>
      <c r="BS22" s="5" t="s">
        <v>41</v>
      </c>
      <c r="BT22" s="23">
        <f t="shared" si="10"/>
        <v>0</v>
      </c>
    </row>
    <row r="23" spans="3:72" ht="16.8" x14ac:dyDescent="0.3">
      <c r="C23"/>
      <c r="D23"/>
      <c r="E23"/>
      <c r="F23"/>
      <c r="G23"/>
      <c r="W23" s="49"/>
      <c r="X23" s="50"/>
      <c r="Y23" s="51"/>
      <c r="Z23" s="49"/>
      <c r="AA23" s="50"/>
      <c r="AB23" s="51"/>
      <c r="AO23" s="49"/>
      <c r="AP23" s="50"/>
      <c r="AQ23" s="51"/>
      <c r="AT23"/>
      <c r="AU23"/>
      <c r="AV23"/>
      <c r="AW23"/>
      <c r="AX23"/>
      <c r="AY23"/>
      <c r="AZ23"/>
      <c r="BA23"/>
      <c r="BB23"/>
      <c r="BC23"/>
      <c r="BD23"/>
      <c r="BE23" s="49"/>
      <c r="BF23" s="50"/>
      <c r="BG23" s="51"/>
      <c r="BN23" s="49"/>
      <c r="BO23" s="50"/>
      <c r="BP23" s="51"/>
      <c r="BS23" s="5" t="s">
        <v>37</v>
      </c>
      <c r="BT23" s="23">
        <f t="shared" si="10"/>
        <v>0</v>
      </c>
    </row>
    <row r="24" spans="3:72" ht="16.8" x14ac:dyDescent="0.3">
      <c r="C24"/>
      <c r="D24"/>
      <c r="E24"/>
      <c r="F24"/>
      <c r="G24"/>
      <c r="W24" s="49"/>
      <c r="X24" s="50"/>
      <c r="Y24" s="51"/>
      <c r="Z24" s="49"/>
      <c r="AA24" s="50"/>
      <c r="AB24" s="51"/>
      <c r="AO24" s="49"/>
      <c r="AP24" s="50"/>
      <c r="AQ24" s="51"/>
      <c r="AT24"/>
      <c r="AU24"/>
      <c r="AV24"/>
      <c r="AW24"/>
      <c r="AX24"/>
      <c r="AY24"/>
      <c r="AZ24"/>
      <c r="BA24"/>
      <c r="BB24"/>
      <c r="BC24"/>
      <c r="BD24"/>
      <c r="BE24" s="49"/>
      <c r="BF24" s="50"/>
      <c r="BG24" s="51"/>
      <c r="BN24" s="49"/>
      <c r="BO24" s="50"/>
      <c r="BP24" s="51"/>
      <c r="BS24" s="5" t="s">
        <v>35</v>
      </c>
      <c r="BT24" s="23">
        <f t="shared" si="10"/>
        <v>0</v>
      </c>
    </row>
    <row r="25" spans="3:72" ht="16.8" x14ac:dyDescent="0.3">
      <c r="C25"/>
      <c r="D25"/>
      <c r="E25"/>
      <c r="F25"/>
      <c r="G25"/>
      <c r="W25" s="52"/>
      <c r="X25" s="53"/>
      <c r="Y25" s="54"/>
      <c r="Z25" s="52"/>
      <c r="AA25" s="53"/>
      <c r="AB25" s="54"/>
      <c r="AO25" s="49"/>
      <c r="AP25" s="50"/>
      <c r="AQ25" s="51"/>
      <c r="AT25"/>
      <c r="AU25"/>
      <c r="AV25"/>
      <c r="AW25"/>
      <c r="AX25"/>
      <c r="AY25"/>
      <c r="AZ25"/>
      <c r="BA25"/>
      <c r="BB25"/>
      <c r="BC25"/>
      <c r="BD25"/>
      <c r="BE25" s="52"/>
      <c r="BF25" s="53"/>
      <c r="BG25" s="54"/>
      <c r="BN25" s="52"/>
      <c r="BO25" s="53"/>
      <c r="BP25" s="54"/>
      <c r="BS25" s="5" t="s">
        <v>40</v>
      </c>
      <c r="BT25" s="23">
        <f t="shared" si="10"/>
        <v>0</v>
      </c>
    </row>
    <row r="26" spans="3:72" ht="16.8" x14ac:dyDescent="0.3">
      <c r="C26"/>
      <c r="D26"/>
      <c r="AO26" s="49"/>
      <c r="AP26" s="50"/>
      <c r="AQ26" s="51"/>
      <c r="BS26" s="5" t="s">
        <v>23</v>
      </c>
      <c r="BT26" s="23">
        <f t="shared" si="10"/>
        <v>0</v>
      </c>
    </row>
    <row r="27" spans="3:72" ht="16.8" x14ac:dyDescent="0.3">
      <c r="C27"/>
      <c r="D27"/>
      <c r="AO27" s="52"/>
      <c r="AP27" s="53"/>
      <c r="AQ27" s="54"/>
      <c r="BS27" s="5" t="s">
        <v>20</v>
      </c>
      <c r="BT27" s="23">
        <f t="shared" si="10"/>
        <v>0</v>
      </c>
    </row>
    <row r="28" spans="3:72" ht="18" customHeight="1" x14ac:dyDescent="0.3">
      <c r="C28"/>
      <c r="D28"/>
      <c r="BS28" s="5" t="s">
        <v>38</v>
      </c>
      <c r="BT28" s="23">
        <f t="shared" si="10"/>
        <v>0</v>
      </c>
    </row>
    <row r="29" spans="3:72" ht="18" customHeight="1" x14ac:dyDescent="0.3">
      <c r="C29"/>
      <c r="D29"/>
      <c r="BS29" s="5" t="s">
        <v>32</v>
      </c>
      <c r="BT29" s="23">
        <f t="shared" si="10"/>
        <v>0</v>
      </c>
    </row>
    <row r="30" spans="3:72" ht="18" customHeight="1" x14ac:dyDescent="0.3">
      <c r="C30"/>
      <c r="D30"/>
      <c r="BS30" s="5" t="s">
        <v>43</v>
      </c>
      <c r="BT30" s="23">
        <f t="shared" si="10"/>
        <v>0</v>
      </c>
    </row>
    <row r="31" spans="3:72" ht="18" customHeight="1" x14ac:dyDescent="0.3">
      <c r="C31"/>
      <c r="D31"/>
      <c r="BS31" s="5" t="s">
        <v>25</v>
      </c>
      <c r="BT31" s="23">
        <f t="shared" si="10"/>
        <v>0</v>
      </c>
    </row>
    <row r="32" spans="3:72" ht="18" customHeight="1" x14ac:dyDescent="0.3">
      <c r="C32"/>
      <c r="D32"/>
      <c r="BS32" s="5" t="s">
        <v>24</v>
      </c>
      <c r="BT32" s="23">
        <f t="shared" si="10"/>
        <v>0</v>
      </c>
    </row>
    <row r="33" spans="3:72" ht="16.8" x14ac:dyDescent="0.3">
      <c r="C33"/>
      <c r="BS33" s="5" t="s">
        <v>34</v>
      </c>
      <c r="BT33" s="23">
        <f t="shared" si="10"/>
        <v>0</v>
      </c>
    </row>
    <row r="34" spans="3:72" ht="16.8" x14ac:dyDescent="0.3">
      <c r="C34"/>
      <c r="BS34" s="5" t="s">
        <v>19</v>
      </c>
      <c r="BT34" s="23">
        <f t="shared" si="10"/>
        <v>0</v>
      </c>
    </row>
    <row r="35" spans="3:72" ht="16.8" x14ac:dyDescent="0.3">
      <c r="C35"/>
      <c r="BS35" s="5" t="s">
        <v>28</v>
      </c>
      <c r="BT35" s="23">
        <f t="shared" si="10"/>
        <v>0</v>
      </c>
    </row>
    <row r="36" spans="3:72" ht="14.4" x14ac:dyDescent="0.3">
      <c r="C36"/>
    </row>
    <row r="37" spans="3:72" ht="14.4" x14ac:dyDescent="0.3">
      <c r="C37"/>
    </row>
    <row r="38" spans="3:72" ht="14.4" x14ac:dyDescent="0.3">
      <c r="C38"/>
    </row>
    <row r="39" spans="3:72" ht="14.4" x14ac:dyDescent="0.3">
      <c r="C39"/>
    </row>
    <row r="40" spans="3:72" ht="14.4" x14ac:dyDescent="0.3">
      <c r="C40"/>
    </row>
    <row r="41" spans="3:72" ht="14.4" x14ac:dyDescent="0.3">
      <c r="C41"/>
    </row>
    <row r="42" spans="3:72" ht="14.4" x14ac:dyDescent="0.3">
      <c r="C42"/>
    </row>
    <row r="43" spans="3:72" ht="14.4" x14ac:dyDescent="0.3">
      <c r="C43"/>
    </row>
    <row r="44" spans="3:72" ht="14.4" x14ac:dyDescent="0.3">
      <c r="C44"/>
    </row>
    <row r="45" spans="3:72" ht="14.4" x14ac:dyDescent="0.3">
      <c r="C45"/>
    </row>
    <row r="46" spans="3:72" ht="14.4" x14ac:dyDescent="0.3">
      <c r="C46"/>
    </row>
    <row r="47" spans="3:72" ht="14.4" x14ac:dyDescent="0.3">
      <c r="C47"/>
    </row>
    <row r="48" spans="3:72" ht="14.4" x14ac:dyDescent="0.3">
      <c r="C48"/>
    </row>
    <row r="49" spans="3:3" ht="14.4" x14ac:dyDescent="0.3">
      <c r="C49"/>
    </row>
    <row r="50" spans="3:3" ht="14.4" x14ac:dyDescent="0.3">
      <c r="C50"/>
    </row>
    <row r="51" spans="3:3" ht="14.4" x14ac:dyDescent="0.3">
      <c r="C51"/>
    </row>
    <row r="52" spans="3:3" ht="14.4" x14ac:dyDescent="0.3">
      <c r="C52"/>
    </row>
    <row r="53" spans="3:3" ht="14.4" x14ac:dyDescent="0.3">
      <c r="C53"/>
    </row>
    <row r="54" spans="3:3" ht="14.4" x14ac:dyDescent="0.3">
      <c r="C54"/>
    </row>
    <row r="55" spans="3:3" ht="14.4" x14ac:dyDescent="0.3">
      <c r="C55"/>
    </row>
    <row r="56" spans="3:3" ht="14.4" x14ac:dyDescent="0.3">
      <c r="C56"/>
    </row>
    <row r="57" spans="3:3" ht="14.4" x14ac:dyDescent="0.3">
      <c r="C57"/>
    </row>
    <row r="58" spans="3:3" ht="14.4" x14ac:dyDescent="0.3">
      <c r="C58"/>
    </row>
    <row r="59" spans="3:3" ht="14.4" x14ac:dyDescent="0.3">
      <c r="C59"/>
    </row>
    <row r="60" spans="3:3" ht="14.4" x14ac:dyDescent="0.3">
      <c r="C60"/>
    </row>
    <row r="61" spans="3:3" ht="14.4" x14ac:dyDescent="0.3">
      <c r="C61"/>
    </row>
  </sheetData>
  <mergeCells count="21">
    <mergeCell ref="AO4:AV4"/>
    <mergeCell ref="AW4:BD4"/>
    <mergeCell ref="BE4:BL4"/>
    <mergeCell ref="BM4:BT4"/>
    <mergeCell ref="BQ6:BT6"/>
    <mergeCell ref="AO6:AR6"/>
    <mergeCell ref="BH6:BL6"/>
    <mergeCell ref="BN6:BO6"/>
    <mergeCell ref="AT6:AW6"/>
    <mergeCell ref="AY6:AZ6"/>
    <mergeCell ref="BB6:BC6"/>
    <mergeCell ref="BE6:BF6"/>
    <mergeCell ref="C4:J4"/>
    <mergeCell ref="K4:R4"/>
    <mergeCell ref="S4:Z4"/>
    <mergeCell ref="AA4:AM4"/>
    <mergeCell ref="AH6:AM6"/>
    <mergeCell ref="G6:M6"/>
    <mergeCell ref="O6:U6"/>
    <mergeCell ref="W6:X6"/>
    <mergeCell ref="Z6:AF6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horizontalDpi="1200" verticalDpi="1200" r:id="rId15"/>
  <drawing r:id="rId1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86978-2BB1-4AF8-9559-C3E75BC91C7B}">
  <sheetPr codeName="Planilha6"/>
  <dimension ref="A1:DT748"/>
  <sheetViews>
    <sheetView workbookViewId="0">
      <selection activeCell="N7" sqref="N7"/>
    </sheetView>
  </sheetViews>
  <sheetFormatPr defaultRowHeight="18" customHeight="1" x14ac:dyDescent="0.3"/>
  <cols>
    <col min="1" max="1" width="8.88671875" style="1"/>
    <col min="2" max="2" width="1" style="1" customWidth="1"/>
    <col min="3" max="16384" width="8.88671875" style="1"/>
  </cols>
  <sheetData>
    <row r="1" spans="1:124" s="7" customFormat="1" ht="35.4" customHeight="1" x14ac:dyDescent="0.3">
      <c r="A1" s="55"/>
      <c r="B1" s="55"/>
      <c r="C1" s="63" t="s">
        <v>143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  <c r="BB1" s="55"/>
      <c r="BC1" s="55"/>
      <c r="BD1" s="55"/>
      <c r="BE1" s="55"/>
      <c r="BF1" s="55"/>
      <c r="BG1" s="55"/>
      <c r="BH1" s="55"/>
      <c r="BI1" s="55"/>
      <c r="BJ1" s="55"/>
      <c r="BK1" s="55"/>
      <c r="BL1" s="55"/>
      <c r="BM1" s="55"/>
      <c r="BN1" s="55"/>
      <c r="BO1" s="55"/>
      <c r="BP1" s="55"/>
      <c r="BQ1" s="55"/>
      <c r="BR1" s="55"/>
      <c r="BS1" s="55"/>
      <c r="BT1" s="55"/>
      <c r="BU1" s="55"/>
      <c r="BV1" s="55"/>
      <c r="BW1" s="55"/>
      <c r="BX1" s="55"/>
      <c r="BY1" s="55"/>
      <c r="BZ1" s="55"/>
      <c r="CA1" s="55"/>
      <c r="CB1" s="55"/>
      <c r="CC1" s="55"/>
      <c r="CD1" s="55"/>
      <c r="CE1" s="55"/>
      <c r="CF1" s="55"/>
      <c r="CG1" s="55"/>
      <c r="CH1" s="55"/>
      <c r="CI1" s="55"/>
      <c r="CJ1" s="55"/>
      <c r="CK1" s="55"/>
      <c r="CL1" s="55"/>
      <c r="CM1" s="55"/>
      <c r="CN1" s="55"/>
      <c r="CO1" s="55"/>
      <c r="CP1" s="55"/>
      <c r="CQ1" s="55"/>
      <c r="CR1" s="55"/>
      <c r="CS1" s="55"/>
      <c r="CT1" s="55"/>
      <c r="CU1" s="55"/>
      <c r="CV1" s="55"/>
      <c r="CW1" s="55"/>
      <c r="CX1" s="55"/>
      <c r="CY1" s="55"/>
      <c r="CZ1" s="55"/>
      <c r="DA1" s="55"/>
      <c r="DB1" s="55"/>
      <c r="DC1" s="55"/>
      <c r="DD1" s="55"/>
      <c r="DE1" s="55"/>
      <c r="DF1" s="55"/>
      <c r="DG1" s="55"/>
      <c r="DH1" s="55"/>
      <c r="DI1" s="55"/>
      <c r="DJ1" s="55"/>
      <c r="DK1" s="55"/>
      <c r="DL1" s="55"/>
      <c r="DM1" s="55"/>
      <c r="DN1" s="55"/>
      <c r="DO1" s="55"/>
      <c r="DP1" s="55"/>
      <c r="DQ1" s="55"/>
      <c r="DR1" s="55"/>
      <c r="DS1" s="55"/>
      <c r="DT1" s="55"/>
    </row>
    <row r="2" spans="1:124" s="8" customFormat="1" ht="4.2" customHeight="1" x14ac:dyDescent="0.3"/>
    <row r="4" spans="1:124" ht="18" customHeight="1" x14ac:dyDescent="0.4">
      <c r="C4" s="17"/>
      <c r="D4" s="17"/>
    </row>
    <row r="5" spans="1:124" ht="18" customHeight="1" x14ac:dyDescent="0.4">
      <c r="C5" s="17"/>
      <c r="D5" s="17"/>
    </row>
    <row r="6" spans="1:124" ht="18" customHeight="1" x14ac:dyDescent="0.4">
      <c r="C6" s="17"/>
      <c r="D6" s="17"/>
    </row>
    <row r="7" spans="1:124" ht="18" customHeight="1" x14ac:dyDescent="0.4">
      <c r="C7" s="17"/>
      <c r="D7" s="17"/>
    </row>
    <row r="8" spans="1:124" ht="18" customHeight="1" x14ac:dyDescent="0.4">
      <c r="C8" s="17"/>
      <c r="D8" s="17"/>
    </row>
    <row r="9" spans="1:124" ht="18" customHeight="1" x14ac:dyDescent="0.4">
      <c r="C9" s="17"/>
      <c r="D9" s="17"/>
    </row>
    <row r="10" spans="1:124" ht="18" customHeight="1" x14ac:dyDescent="0.4">
      <c r="C10" s="17"/>
      <c r="D10" s="17"/>
    </row>
    <row r="11" spans="1:124" ht="18" customHeight="1" x14ac:dyDescent="0.4">
      <c r="C11" s="17"/>
      <c r="D11" s="17"/>
      <c r="I11"/>
    </row>
    <row r="12" spans="1:124" ht="18" customHeight="1" x14ac:dyDescent="0.4">
      <c r="C12" s="17"/>
      <c r="D12" s="17"/>
      <c r="I12"/>
    </row>
    <row r="13" spans="1:124" ht="18" customHeight="1" x14ac:dyDescent="0.4">
      <c r="C13" s="17"/>
      <c r="D13" s="17"/>
      <c r="I13"/>
    </row>
    <row r="14" spans="1:124" ht="18" customHeight="1" x14ac:dyDescent="0.4">
      <c r="C14" s="17"/>
      <c r="D14" s="17"/>
      <c r="I14"/>
    </row>
    <row r="15" spans="1:124" ht="18" customHeight="1" x14ac:dyDescent="0.4">
      <c r="C15" s="17"/>
      <c r="D15" s="17"/>
      <c r="I15"/>
    </row>
    <row r="16" spans="1:124" ht="18" customHeight="1" x14ac:dyDescent="0.4">
      <c r="C16" s="17"/>
      <c r="D16" s="17"/>
      <c r="I16"/>
    </row>
    <row r="17" spans="3:9" ht="18" customHeight="1" x14ac:dyDescent="0.4">
      <c r="C17" s="17"/>
      <c r="D17" s="17"/>
      <c r="I17"/>
    </row>
    <row r="18" spans="3:9" ht="18" customHeight="1" x14ac:dyDescent="0.4">
      <c r="C18" s="17"/>
      <c r="D18" s="17"/>
      <c r="I18"/>
    </row>
    <row r="19" spans="3:9" ht="18" customHeight="1" x14ac:dyDescent="0.4">
      <c r="C19" s="17"/>
      <c r="D19" s="17"/>
      <c r="I19"/>
    </row>
    <row r="20" spans="3:9" ht="18" customHeight="1" x14ac:dyDescent="0.4">
      <c r="C20" s="17"/>
      <c r="D20" s="17"/>
      <c r="I20"/>
    </row>
    <row r="21" spans="3:9" ht="18" customHeight="1" x14ac:dyDescent="0.4">
      <c r="C21" s="17"/>
      <c r="D21" s="17"/>
      <c r="I21"/>
    </row>
    <row r="22" spans="3:9" ht="18" customHeight="1" x14ac:dyDescent="0.4">
      <c r="C22" s="17"/>
      <c r="D22" s="17"/>
      <c r="I22"/>
    </row>
    <row r="23" spans="3:9" ht="18" customHeight="1" x14ac:dyDescent="0.4">
      <c r="C23" s="17"/>
      <c r="D23" s="17"/>
      <c r="I23"/>
    </row>
    <row r="24" spans="3:9" ht="18" customHeight="1" x14ac:dyDescent="0.4">
      <c r="C24" s="17"/>
      <c r="D24" s="17"/>
      <c r="I24"/>
    </row>
    <row r="25" spans="3:9" ht="18" customHeight="1" x14ac:dyDescent="0.4">
      <c r="C25" s="17"/>
      <c r="D25" s="17"/>
      <c r="I25"/>
    </row>
    <row r="26" spans="3:9" ht="18" customHeight="1" x14ac:dyDescent="0.4">
      <c r="C26" s="17"/>
      <c r="D26" s="17"/>
      <c r="I26"/>
    </row>
    <row r="27" spans="3:9" ht="18" customHeight="1" x14ac:dyDescent="0.4">
      <c r="C27" s="17"/>
      <c r="D27" s="17"/>
      <c r="I27"/>
    </row>
    <row r="28" spans="3:9" ht="18" customHeight="1" x14ac:dyDescent="0.4">
      <c r="C28" s="17"/>
      <c r="D28" s="17"/>
      <c r="I28"/>
    </row>
    <row r="29" spans="3:9" ht="18" customHeight="1" x14ac:dyDescent="0.4">
      <c r="C29" s="17"/>
      <c r="D29" s="17"/>
      <c r="I29"/>
    </row>
    <row r="30" spans="3:9" ht="18" customHeight="1" x14ac:dyDescent="0.4">
      <c r="C30" s="17"/>
      <c r="D30" s="17"/>
      <c r="I30"/>
    </row>
    <row r="31" spans="3:9" ht="18" customHeight="1" x14ac:dyDescent="0.4">
      <c r="C31" s="17"/>
      <c r="D31" s="17"/>
      <c r="I31"/>
    </row>
    <row r="32" spans="3:9" ht="18" customHeight="1" x14ac:dyDescent="0.4">
      <c r="C32" s="17"/>
      <c r="D32" s="17"/>
      <c r="I32"/>
    </row>
    <row r="33" spans="3:9" ht="18" customHeight="1" x14ac:dyDescent="0.4">
      <c r="C33" s="17"/>
      <c r="D33" s="17"/>
      <c r="I33"/>
    </row>
    <row r="34" spans="3:9" ht="18" customHeight="1" x14ac:dyDescent="0.4">
      <c r="C34" s="17"/>
      <c r="D34" s="17"/>
      <c r="I34"/>
    </row>
    <row r="35" spans="3:9" ht="18" customHeight="1" x14ac:dyDescent="0.4">
      <c r="C35" s="17"/>
      <c r="D35" s="17"/>
      <c r="I35"/>
    </row>
    <row r="36" spans="3:9" ht="18" customHeight="1" x14ac:dyDescent="0.4">
      <c r="C36" s="17"/>
      <c r="D36" s="17"/>
      <c r="I36"/>
    </row>
    <row r="37" spans="3:9" ht="18" customHeight="1" x14ac:dyDescent="0.4">
      <c r="C37" s="17"/>
      <c r="D37" s="17"/>
      <c r="I37"/>
    </row>
    <row r="38" spans="3:9" ht="18" customHeight="1" x14ac:dyDescent="0.4">
      <c r="C38" s="17"/>
      <c r="D38" s="17"/>
      <c r="I38"/>
    </row>
    <row r="39" spans="3:9" ht="18" customHeight="1" x14ac:dyDescent="0.4">
      <c r="C39" s="17"/>
      <c r="D39" s="17"/>
      <c r="I39"/>
    </row>
    <row r="40" spans="3:9" ht="18" customHeight="1" x14ac:dyDescent="0.4">
      <c r="C40" s="17"/>
      <c r="D40" s="17"/>
      <c r="I40"/>
    </row>
    <row r="41" spans="3:9" ht="18" customHeight="1" x14ac:dyDescent="0.4">
      <c r="C41" s="17"/>
      <c r="D41" s="17"/>
      <c r="I41"/>
    </row>
    <row r="42" spans="3:9" ht="18" customHeight="1" x14ac:dyDescent="0.4">
      <c r="C42" s="17"/>
      <c r="D42" s="17"/>
      <c r="I42"/>
    </row>
    <row r="43" spans="3:9" ht="18" customHeight="1" x14ac:dyDescent="0.4">
      <c r="C43" s="17"/>
      <c r="D43" s="17"/>
      <c r="I43"/>
    </row>
    <row r="44" spans="3:9" ht="18" customHeight="1" x14ac:dyDescent="0.4">
      <c r="C44" s="17"/>
      <c r="D44" s="17"/>
      <c r="I44"/>
    </row>
    <row r="45" spans="3:9" ht="18" customHeight="1" x14ac:dyDescent="0.4">
      <c r="C45" s="17"/>
      <c r="D45" s="17"/>
      <c r="I45"/>
    </row>
    <row r="46" spans="3:9" ht="18" customHeight="1" x14ac:dyDescent="0.4">
      <c r="C46" s="17"/>
      <c r="D46" s="17"/>
      <c r="I46"/>
    </row>
    <row r="47" spans="3:9" ht="18" customHeight="1" x14ac:dyDescent="0.4">
      <c r="C47" s="17"/>
      <c r="D47" s="17"/>
      <c r="I47"/>
    </row>
    <row r="48" spans="3:9" ht="18" customHeight="1" x14ac:dyDescent="0.4">
      <c r="C48" s="17"/>
      <c r="D48" s="17"/>
      <c r="I48"/>
    </row>
    <row r="49" spans="3:9" ht="18" customHeight="1" x14ac:dyDescent="0.4">
      <c r="C49" s="17"/>
      <c r="D49" s="17"/>
      <c r="I49"/>
    </row>
    <row r="50" spans="3:9" ht="18" customHeight="1" x14ac:dyDescent="0.4">
      <c r="C50" s="17"/>
      <c r="D50" s="17"/>
      <c r="I50"/>
    </row>
    <row r="51" spans="3:9" ht="18" customHeight="1" x14ac:dyDescent="0.4">
      <c r="C51" s="17"/>
      <c r="D51" s="17"/>
      <c r="I51"/>
    </row>
    <row r="52" spans="3:9" ht="18" customHeight="1" x14ac:dyDescent="0.4">
      <c r="C52" s="17"/>
      <c r="D52" s="17"/>
      <c r="I52"/>
    </row>
    <row r="53" spans="3:9" ht="18" customHeight="1" x14ac:dyDescent="0.4">
      <c r="C53" s="17"/>
      <c r="D53" s="17"/>
      <c r="I53"/>
    </row>
    <row r="54" spans="3:9" ht="18" customHeight="1" x14ac:dyDescent="0.4">
      <c r="C54" s="17"/>
      <c r="D54" s="17"/>
      <c r="I54"/>
    </row>
    <row r="55" spans="3:9" ht="18" customHeight="1" x14ac:dyDescent="0.4">
      <c r="C55" s="17"/>
      <c r="D55" s="17"/>
      <c r="I55"/>
    </row>
    <row r="56" spans="3:9" ht="18" customHeight="1" x14ac:dyDescent="0.4">
      <c r="C56" s="17"/>
      <c r="D56" s="17"/>
      <c r="I56"/>
    </row>
    <row r="57" spans="3:9" ht="18" customHeight="1" x14ac:dyDescent="0.4">
      <c r="C57" s="17"/>
      <c r="D57" s="17"/>
      <c r="I57"/>
    </row>
    <row r="58" spans="3:9" ht="18" customHeight="1" x14ac:dyDescent="0.4">
      <c r="C58" s="17"/>
      <c r="D58" s="17"/>
      <c r="I58"/>
    </row>
    <row r="59" spans="3:9" ht="18" customHeight="1" x14ac:dyDescent="0.4">
      <c r="C59" s="17"/>
      <c r="D59" s="17"/>
      <c r="I59"/>
    </row>
    <row r="60" spans="3:9" ht="18" customHeight="1" x14ac:dyDescent="0.4">
      <c r="C60" s="17"/>
      <c r="D60" s="17"/>
      <c r="I60"/>
    </row>
    <row r="61" spans="3:9" ht="18" customHeight="1" x14ac:dyDescent="0.4">
      <c r="C61" s="17"/>
      <c r="D61" s="17"/>
      <c r="I61"/>
    </row>
    <row r="62" spans="3:9" ht="18" customHeight="1" x14ac:dyDescent="0.4">
      <c r="C62" s="17"/>
      <c r="D62" s="17"/>
      <c r="I62"/>
    </row>
    <row r="63" spans="3:9" ht="18" customHeight="1" x14ac:dyDescent="0.4">
      <c r="C63" s="17"/>
      <c r="D63" s="17"/>
      <c r="I63"/>
    </row>
    <row r="64" spans="3:9" ht="18" customHeight="1" x14ac:dyDescent="0.4">
      <c r="C64" s="17"/>
      <c r="D64" s="17"/>
      <c r="I64"/>
    </row>
    <row r="65" spans="3:9" ht="18" customHeight="1" x14ac:dyDescent="0.4">
      <c r="C65" s="17"/>
      <c r="D65" s="17"/>
      <c r="I65"/>
    </row>
    <row r="66" spans="3:9" ht="18" customHeight="1" x14ac:dyDescent="0.4">
      <c r="C66" s="17"/>
      <c r="D66" s="17"/>
      <c r="I66"/>
    </row>
    <row r="67" spans="3:9" ht="18" customHeight="1" x14ac:dyDescent="0.4">
      <c r="C67" s="17"/>
      <c r="D67" s="17"/>
      <c r="I67"/>
    </row>
    <row r="68" spans="3:9" ht="18" customHeight="1" x14ac:dyDescent="0.4">
      <c r="C68" s="17"/>
      <c r="D68" s="17"/>
      <c r="I68"/>
    </row>
    <row r="69" spans="3:9" ht="18" customHeight="1" x14ac:dyDescent="0.4">
      <c r="C69" s="17"/>
      <c r="D69" s="17"/>
      <c r="I69"/>
    </row>
    <row r="70" spans="3:9" ht="18" customHeight="1" x14ac:dyDescent="0.4">
      <c r="C70" s="17"/>
      <c r="D70" s="17"/>
      <c r="I70"/>
    </row>
    <row r="71" spans="3:9" ht="18" customHeight="1" x14ac:dyDescent="0.4">
      <c r="C71" s="17"/>
      <c r="D71" s="17"/>
      <c r="I71"/>
    </row>
    <row r="72" spans="3:9" ht="18" customHeight="1" x14ac:dyDescent="0.3">
      <c r="C72"/>
      <c r="I72"/>
    </row>
    <row r="73" spans="3:9" ht="18" customHeight="1" x14ac:dyDescent="0.3">
      <c r="C73"/>
      <c r="I73"/>
    </row>
    <row r="74" spans="3:9" ht="18" customHeight="1" x14ac:dyDescent="0.3">
      <c r="C74"/>
      <c r="I74"/>
    </row>
    <row r="75" spans="3:9" ht="18" customHeight="1" x14ac:dyDescent="0.3">
      <c r="C75"/>
      <c r="I75"/>
    </row>
    <row r="76" spans="3:9" ht="18" customHeight="1" x14ac:dyDescent="0.3">
      <c r="C76"/>
      <c r="I76"/>
    </row>
    <row r="77" spans="3:9" ht="18" customHeight="1" x14ac:dyDescent="0.3">
      <c r="C77"/>
      <c r="I77"/>
    </row>
    <row r="78" spans="3:9" ht="18" customHeight="1" x14ac:dyDescent="0.3">
      <c r="C78"/>
      <c r="I78"/>
    </row>
    <row r="79" spans="3:9" ht="18" customHeight="1" x14ac:dyDescent="0.3">
      <c r="C79"/>
      <c r="I79"/>
    </row>
    <row r="80" spans="3:9" ht="18" customHeight="1" x14ac:dyDescent="0.3">
      <c r="C80"/>
      <c r="I80"/>
    </row>
    <row r="81" spans="3:9" ht="18" customHeight="1" x14ac:dyDescent="0.3">
      <c r="C81"/>
      <c r="I81"/>
    </row>
    <row r="82" spans="3:9" ht="18" customHeight="1" x14ac:dyDescent="0.3">
      <c r="C82"/>
      <c r="I82"/>
    </row>
    <row r="83" spans="3:9" ht="18" customHeight="1" x14ac:dyDescent="0.3">
      <c r="C83"/>
      <c r="I83"/>
    </row>
    <row r="84" spans="3:9" ht="18" customHeight="1" x14ac:dyDescent="0.3">
      <c r="C84"/>
      <c r="I84"/>
    </row>
    <row r="85" spans="3:9" ht="18" customHeight="1" x14ac:dyDescent="0.3">
      <c r="C85"/>
      <c r="I85"/>
    </row>
    <row r="86" spans="3:9" ht="18" customHeight="1" x14ac:dyDescent="0.3">
      <c r="C86"/>
      <c r="I86"/>
    </row>
    <row r="87" spans="3:9" ht="18" customHeight="1" x14ac:dyDescent="0.3">
      <c r="C87"/>
      <c r="I87"/>
    </row>
    <row r="88" spans="3:9" ht="18" customHeight="1" x14ac:dyDescent="0.3">
      <c r="C88"/>
      <c r="I88"/>
    </row>
    <row r="89" spans="3:9" ht="18" customHeight="1" x14ac:dyDescent="0.3">
      <c r="C89"/>
      <c r="I89"/>
    </row>
    <row r="90" spans="3:9" ht="18" customHeight="1" x14ac:dyDescent="0.3">
      <c r="C90"/>
      <c r="I90"/>
    </row>
    <row r="91" spans="3:9" ht="18" customHeight="1" x14ac:dyDescent="0.3">
      <c r="C91"/>
      <c r="I91"/>
    </row>
    <row r="92" spans="3:9" ht="18" customHeight="1" x14ac:dyDescent="0.3">
      <c r="C92"/>
      <c r="I92"/>
    </row>
    <row r="93" spans="3:9" ht="18" customHeight="1" x14ac:dyDescent="0.3">
      <c r="C93"/>
      <c r="I93"/>
    </row>
    <row r="94" spans="3:9" ht="18" customHeight="1" x14ac:dyDescent="0.3">
      <c r="C94"/>
      <c r="I94"/>
    </row>
    <row r="95" spans="3:9" ht="18" customHeight="1" x14ac:dyDescent="0.3">
      <c r="C95"/>
      <c r="I95"/>
    </row>
    <row r="96" spans="3:9" ht="18" customHeight="1" x14ac:dyDescent="0.3">
      <c r="C96"/>
      <c r="I96"/>
    </row>
    <row r="97" spans="3:9" ht="18" customHeight="1" x14ac:dyDescent="0.3">
      <c r="C97"/>
      <c r="I97"/>
    </row>
    <row r="98" spans="3:9" ht="18" customHeight="1" x14ac:dyDescent="0.3">
      <c r="C98"/>
      <c r="I98"/>
    </row>
    <row r="99" spans="3:9" ht="18" customHeight="1" x14ac:dyDescent="0.3">
      <c r="C99"/>
      <c r="I99"/>
    </row>
    <row r="100" spans="3:9" ht="18" customHeight="1" x14ac:dyDescent="0.3">
      <c r="C100"/>
      <c r="I100"/>
    </row>
    <row r="101" spans="3:9" ht="18" customHeight="1" x14ac:dyDescent="0.3">
      <c r="C101"/>
      <c r="I101"/>
    </row>
    <row r="102" spans="3:9" ht="18" customHeight="1" x14ac:dyDescent="0.3">
      <c r="C102"/>
      <c r="I102"/>
    </row>
    <row r="103" spans="3:9" ht="18" customHeight="1" x14ac:dyDescent="0.3">
      <c r="C103"/>
      <c r="I103"/>
    </row>
    <row r="104" spans="3:9" ht="18" customHeight="1" x14ac:dyDescent="0.3">
      <c r="C104"/>
      <c r="I104"/>
    </row>
    <row r="105" spans="3:9" ht="18" customHeight="1" x14ac:dyDescent="0.3">
      <c r="C105"/>
      <c r="I105"/>
    </row>
    <row r="106" spans="3:9" ht="18" customHeight="1" x14ac:dyDescent="0.3">
      <c r="C106"/>
      <c r="I106"/>
    </row>
    <row r="107" spans="3:9" ht="18" customHeight="1" x14ac:dyDescent="0.3">
      <c r="C107"/>
      <c r="I107"/>
    </row>
    <row r="108" spans="3:9" ht="18" customHeight="1" x14ac:dyDescent="0.3">
      <c r="C108"/>
      <c r="I108"/>
    </row>
    <row r="109" spans="3:9" ht="18" customHeight="1" x14ac:dyDescent="0.3">
      <c r="C109"/>
      <c r="I109"/>
    </row>
    <row r="110" spans="3:9" ht="18" customHeight="1" x14ac:dyDescent="0.3">
      <c r="C110"/>
      <c r="I110"/>
    </row>
    <row r="111" spans="3:9" ht="18" customHeight="1" x14ac:dyDescent="0.3">
      <c r="C111"/>
      <c r="I111"/>
    </row>
    <row r="112" spans="3:9" ht="18" customHeight="1" x14ac:dyDescent="0.3">
      <c r="C112"/>
      <c r="I112"/>
    </row>
    <row r="113" spans="3:9" ht="18" customHeight="1" x14ac:dyDescent="0.3">
      <c r="C113"/>
      <c r="I113"/>
    </row>
    <row r="114" spans="3:9" ht="18" customHeight="1" x14ac:dyDescent="0.3">
      <c r="C114"/>
      <c r="I114"/>
    </row>
    <row r="115" spans="3:9" ht="18" customHeight="1" x14ac:dyDescent="0.3">
      <c r="C115"/>
      <c r="I115"/>
    </row>
    <row r="116" spans="3:9" ht="18" customHeight="1" x14ac:dyDescent="0.3">
      <c r="C116"/>
      <c r="I116"/>
    </row>
    <row r="117" spans="3:9" ht="18" customHeight="1" x14ac:dyDescent="0.3">
      <c r="C117"/>
      <c r="I117"/>
    </row>
    <row r="118" spans="3:9" ht="18" customHeight="1" x14ac:dyDescent="0.3">
      <c r="C118"/>
      <c r="I118"/>
    </row>
    <row r="119" spans="3:9" ht="18" customHeight="1" x14ac:dyDescent="0.3">
      <c r="C119"/>
      <c r="I119"/>
    </row>
    <row r="120" spans="3:9" ht="18" customHeight="1" x14ac:dyDescent="0.3">
      <c r="C120"/>
      <c r="I120"/>
    </row>
    <row r="121" spans="3:9" ht="18" customHeight="1" x14ac:dyDescent="0.3">
      <c r="C121"/>
      <c r="I121"/>
    </row>
    <row r="122" spans="3:9" ht="18" customHeight="1" x14ac:dyDescent="0.3">
      <c r="C122"/>
      <c r="I122"/>
    </row>
    <row r="123" spans="3:9" ht="18" customHeight="1" x14ac:dyDescent="0.3">
      <c r="C123"/>
      <c r="I123"/>
    </row>
    <row r="124" spans="3:9" ht="18" customHeight="1" x14ac:dyDescent="0.3">
      <c r="C124"/>
      <c r="I124"/>
    </row>
    <row r="125" spans="3:9" ht="18" customHeight="1" x14ac:dyDescent="0.3">
      <c r="C125"/>
      <c r="I125"/>
    </row>
    <row r="126" spans="3:9" ht="18" customHeight="1" x14ac:dyDescent="0.3">
      <c r="C126"/>
      <c r="I126"/>
    </row>
    <row r="127" spans="3:9" ht="18" customHeight="1" x14ac:dyDescent="0.3">
      <c r="C127"/>
      <c r="I127"/>
    </row>
    <row r="128" spans="3:9" ht="18" customHeight="1" x14ac:dyDescent="0.3">
      <c r="C128"/>
      <c r="I128"/>
    </row>
    <row r="129" spans="3:9" ht="18" customHeight="1" x14ac:dyDescent="0.3">
      <c r="C129"/>
      <c r="I129"/>
    </row>
    <row r="130" spans="3:9" ht="18" customHeight="1" x14ac:dyDescent="0.3">
      <c r="C130"/>
      <c r="I130"/>
    </row>
    <row r="131" spans="3:9" ht="18" customHeight="1" x14ac:dyDescent="0.3">
      <c r="C131"/>
      <c r="I131"/>
    </row>
    <row r="132" spans="3:9" ht="18" customHeight="1" x14ac:dyDescent="0.3">
      <c r="C132"/>
      <c r="I132"/>
    </row>
    <row r="133" spans="3:9" ht="18" customHeight="1" x14ac:dyDescent="0.3">
      <c r="C133"/>
      <c r="I133"/>
    </row>
    <row r="134" spans="3:9" ht="18" customHeight="1" x14ac:dyDescent="0.3">
      <c r="C134"/>
      <c r="I134"/>
    </row>
    <row r="135" spans="3:9" ht="18" customHeight="1" x14ac:dyDescent="0.3">
      <c r="C135"/>
      <c r="I135"/>
    </row>
    <row r="136" spans="3:9" ht="18" customHeight="1" x14ac:dyDescent="0.3">
      <c r="C136"/>
      <c r="I136"/>
    </row>
    <row r="137" spans="3:9" ht="18" customHeight="1" x14ac:dyDescent="0.3">
      <c r="C137"/>
      <c r="I137"/>
    </row>
    <row r="138" spans="3:9" ht="18" customHeight="1" x14ac:dyDescent="0.3">
      <c r="C138"/>
      <c r="I138"/>
    </row>
    <row r="139" spans="3:9" ht="18" customHeight="1" x14ac:dyDescent="0.3">
      <c r="C139"/>
      <c r="I139"/>
    </row>
    <row r="140" spans="3:9" ht="18" customHeight="1" x14ac:dyDescent="0.3">
      <c r="C140"/>
      <c r="I140"/>
    </row>
    <row r="141" spans="3:9" ht="18" customHeight="1" x14ac:dyDescent="0.3">
      <c r="C141"/>
      <c r="I141"/>
    </row>
    <row r="142" spans="3:9" ht="18" customHeight="1" x14ac:dyDescent="0.3">
      <c r="C142"/>
      <c r="I142"/>
    </row>
    <row r="143" spans="3:9" ht="18" customHeight="1" x14ac:dyDescent="0.3">
      <c r="C143"/>
      <c r="I143"/>
    </row>
    <row r="144" spans="3:9" ht="18" customHeight="1" x14ac:dyDescent="0.3">
      <c r="C144"/>
      <c r="I144"/>
    </row>
    <row r="145" spans="3:9" ht="18" customHeight="1" x14ac:dyDescent="0.3">
      <c r="C145"/>
      <c r="I145"/>
    </row>
    <row r="146" spans="3:9" ht="18" customHeight="1" x14ac:dyDescent="0.3">
      <c r="C146"/>
      <c r="I146"/>
    </row>
    <row r="147" spans="3:9" ht="18" customHeight="1" x14ac:dyDescent="0.3">
      <c r="C147"/>
      <c r="I147"/>
    </row>
    <row r="148" spans="3:9" ht="18" customHeight="1" x14ac:dyDescent="0.3">
      <c r="C148"/>
      <c r="I148"/>
    </row>
    <row r="149" spans="3:9" ht="18" customHeight="1" x14ac:dyDescent="0.3">
      <c r="C149"/>
      <c r="I149"/>
    </row>
    <row r="150" spans="3:9" ht="18" customHeight="1" x14ac:dyDescent="0.3">
      <c r="C150"/>
      <c r="I150"/>
    </row>
    <row r="151" spans="3:9" ht="18" customHeight="1" x14ac:dyDescent="0.3">
      <c r="C151"/>
      <c r="I151"/>
    </row>
    <row r="152" spans="3:9" ht="18" customHeight="1" x14ac:dyDescent="0.3">
      <c r="C152"/>
      <c r="I152"/>
    </row>
    <row r="153" spans="3:9" ht="18" customHeight="1" x14ac:dyDescent="0.3">
      <c r="C153"/>
      <c r="I153"/>
    </row>
    <row r="154" spans="3:9" ht="18" customHeight="1" x14ac:dyDescent="0.3">
      <c r="C154"/>
      <c r="I154"/>
    </row>
    <row r="155" spans="3:9" ht="18" customHeight="1" x14ac:dyDescent="0.3">
      <c r="C155"/>
      <c r="I155"/>
    </row>
    <row r="156" spans="3:9" ht="18" customHeight="1" x14ac:dyDescent="0.3">
      <c r="C156"/>
      <c r="I156"/>
    </row>
    <row r="157" spans="3:9" ht="18" customHeight="1" x14ac:dyDescent="0.3">
      <c r="C157"/>
      <c r="I157"/>
    </row>
    <row r="158" spans="3:9" ht="18" customHeight="1" x14ac:dyDescent="0.3">
      <c r="C158"/>
      <c r="I158"/>
    </row>
    <row r="159" spans="3:9" ht="18" customHeight="1" x14ac:dyDescent="0.3">
      <c r="C159"/>
      <c r="I159"/>
    </row>
    <row r="160" spans="3:9" ht="18" customHeight="1" x14ac:dyDescent="0.3">
      <c r="C160"/>
      <c r="I160"/>
    </row>
    <row r="161" spans="3:9" ht="18" customHeight="1" x14ac:dyDescent="0.3">
      <c r="C161"/>
      <c r="I161"/>
    </row>
    <row r="162" spans="3:9" ht="18" customHeight="1" x14ac:dyDescent="0.3">
      <c r="C162"/>
      <c r="I162"/>
    </row>
    <row r="163" spans="3:9" ht="18" customHeight="1" x14ac:dyDescent="0.3">
      <c r="C163"/>
      <c r="I163"/>
    </row>
    <row r="164" spans="3:9" ht="18" customHeight="1" x14ac:dyDescent="0.3">
      <c r="C164"/>
      <c r="I164"/>
    </row>
    <row r="165" spans="3:9" ht="18" customHeight="1" x14ac:dyDescent="0.3">
      <c r="C165"/>
      <c r="I165"/>
    </row>
    <row r="166" spans="3:9" ht="18" customHeight="1" x14ac:dyDescent="0.3">
      <c r="C166"/>
      <c r="I166"/>
    </row>
    <row r="167" spans="3:9" ht="18" customHeight="1" x14ac:dyDescent="0.3">
      <c r="C167"/>
      <c r="I167"/>
    </row>
    <row r="168" spans="3:9" ht="18" customHeight="1" x14ac:dyDescent="0.3">
      <c r="C168"/>
      <c r="I168"/>
    </row>
    <row r="169" spans="3:9" ht="18" customHeight="1" x14ac:dyDescent="0.3">
      <c r="C169"/>
      <c r="I169"/>
    </row>
    <row r="170" spans="3:9" ht="18" customHeight="1" x14ac:dyDescent="0.3">
      <c r="C170"/>
      <c r="I170"/>
    </row>
    <row r="171" spans="3:9" ht="18" customHeight="1" x14ac:dyDescent="0.3">
      <c r="C171"/>
      <c r="I171"/>
    </row>
    <row r="172" spans="3:9" ht="18" customHeight="1" x14ac:dyDescent="0.3">
      <c r="C172"/>
      <c r="I172"/>
    </row>
    <row r="173" spans="3:9" ht="18" customHeight="1" x14ac:dyDescent="0.3">
      <c r="C173"/>
      <c r="I173"/>
    </row>
    <row r="174" spans="3:9" ht="18" customHeight="1" x14ac:dyDescent="0.3">
      <c r="C174"/>
      <c r="I174"/>
    </row>
    <row r="175" spans="3:9" ht="18" customHeight="1" x14ac:dyDescent="0.3">
      <c r="C175"/>
      <c r="I175"/>
    </row>
    <row r="176" spans="3:9" ht="18" customHeight="1" x14ac:dyDescent="0.3">
      <c r="C176"/>
      <c r="I176"/>
    </row>
    <row r="177" spans="3:9" ht="18" customHeight="1" x14ac:dyDescent="0.3">
      <c r="C177"/>
      <c r="I177"/>
    </row>
    <row r="178" spans="3:9" ht="18" customHeight="1" x14ac:dyDescent="0.3">
      <c r="C178"/>
      <c r="I178"/>
    </row>
    <row r="179" spans="3:9" ht="18" customHeight="1" x14ac:dyDescent="0.3">
      <c r="C179"/>
      <c r="I179"/>
    </row>
    <row r="180" spans="3:9" ht="18" customHeight="1" x14ac:dyDescent="0.3">
      <c r="C180"/>
      <c r="I180"/>
    </row>
    <row r="181" spans="3:9" ht="18" customHeight="1" x14ac:dyDescent="0.3">
      <c r="C181"/>
      <c r="I181"/>
    </row>
    <row r="182" spans="3:9" ht="18" customHeight="1" x14ac:dyDescent="0.3">
      <c r="C182"/>
      <c r="I182"/>
    </row>
    <row r="183" spans="3:9" ht="18" customHeight="1" x14ac:dyDescent="0.3">
      <c r="C183"/>
      <c r="I183"/>
    </row>
    <row r="184" spans="3:9" ht="18" customHeight="1" x14ac:dyDescent="0.3">
      <c r="C184"/>
      <c r="I184"/>
    </row>
    <row r="185" spans="3:9" ht="18" customHeight="1" x14ac:dyDescent="0.3">
      <c r="C185"/>
      <c r="I185"/>
    </row>
    <row r="186" spans="3:9" ht="18" customHeight="1" x14ac:dyDescent="0.3">
      <c r="C186"/>
      <c r="I186"/>
    </row>
    <row r="187" spans="3:9" ht="18" customHeight="1" x14ac:dyDescent="0.3">
      <c r="C187"/>
      <c r="I187"/>
    </row>
    <row r="188" spans="3:9" ht="18" customHeight="1" x14ac:dyDescent="0.3">
      <c r="C188"/>
      <c r="I188"/>
    </row>
    <row r="189" spans="3:9" ht="18" customHeight="1" x14ac:dyDescent="0.3">
      <c r="C189"/>
      <c r="I189"/>
    </row>
    <row r="190" spans="3:9" ht="18" customHeight="1" x14ac:dyDescent="0.3">
      <c r="C190"/>
      <c r="I190"/>
    </row>
    <row r="191" spans="3:9" ht="18" customHeight="1" x14ac:dyDescent="0.3">
      <c r="C191"/>
      <c r="I191"/>
    </row>
    <row r="192" spans="3:9" ht="18" customHeight="1" x14ac:dyDescent="0.3">
      <c r="C192"/>
      <c r="I192"/>
    </row>
    <row r="193" spans="3:9" ht="18" customHeight="1" x14ac:dyDescent="0.3">
      <c r="C193"/>
      <c r="I193"/>
    </row>
    <row r="194" spans="3:9" ht="18" customHeight="1" x14ac:dyDescent="0.3">
      <c r="C194"/>
      <c r="I194"/>
    </row>
    <row r="195" spans="3:9" ht="18" customHeight="1" x14ac:dyDescent="0.3">
      <c r="C195"/>
      <c r="I195"/>
    </row>
    <row r="196" spans="3:9" ht="18" customHeight="1" x14ac:dyDescent="0.3">
      <c r="C196"/>
      <c r="I196"/>
    </row>
    <row r="197" spans="3:9" ht="18" customHeight="1" x14ac:dyDescent="0.3">
      <c r="C197"/>
      <c r="I197"/>
    </row>
    <row r="198" spans="3:9" ht="18" customHeight="1" x14ac:dyDescent="0.3">
      <c r="C198"/>
      <c r="I198"/>
    </row>
    <row r="199" spans="3:9" ht="18" customHeight="1" x14ac:dyDescent="0.3">
      <c r="C199"/>
      <c r="I199"/>
    </row>
    <row r="200" spans="3:9" ht="18" customHeight="1" x14ac:dyDescent="0.3">
      <c r="C200"/>
      <c r="I200"/>
    </row>
    <row r="201" spans="3:9" ht="18" customHeight="1" x14ac:dyDescent="0.3">
      <c r="C201"/>
      <c r="I201"/>
    </row>
    <row r="202" spans="3:9" ht="18" customHeight="1" x14ac:dyDescent="0.3">
      <c r="C202"/>
      <c r="I202"/>
    </row>
    <row r="203" spans="3:9" ht="18" customHeight="1" x14ac:dyDescent="0.3">
      <c r="C203"/>
      <c r="I203"/>
    </row>
    <row r="204" spans="3:9" ht="18" customHeight="1" x14ac:dyDescent="0.3">
      <c r="C204"/>
      <c r="I204"/>
    </row>
    <row r="205" spans="3:9" ht="18" customHeight="1" x14ac:dyDescent="0.3">
      <c r="C205"/>
      <c r="I205"/>
    </row>
    <row r="206" spans="3:9" ht="18" customHeight="1" x14ac:dyDescent="0.3">
      <c r="C206"/>
      <c r="I206"/>
    </row>
    <row r="207" spans="3:9" ht="18" customHeight="1" x14ac:dyDescent="0.3">
      <c r="C207"/>
      <c r="I207"/>
    </row>
    <row r="208" spans="3:9" ht="18" customHeight="1" x14ac:dyDescent="0.3">
      <c r="C208"/>
      <c r="I208"/>
    </row>
    <row r="209" spans="3:9" ht="18" customHeight="1" x14ac:dyDescent="0.3">
      <c r="C209"/>
      <c r="I209"/>
    </row>
    <row r="210" spans="3:9" ht="18" customHeight="1" x14ac:dyDescent="0.3">
      <c r="C210"/>
      <c r="I210"/>
    </row>
    <row r="211" spans="3:9" ht="18" customHeight="1" x14ac:dyDescent="0.3">
      <c r="C211"/>
      <c r="I211"/>
    </row>
    <row r="212" spans="3:9" ht="18" customHeight="1" x14ac:dyDescent="0.3">
      <c r="C212"/>
      <c r="I212"/>
    </row>
    <row r="213" spans="3:9" ht="18" customHeight="1" x14ac:dyDescent="0.3">
      <c r="C213"/>
      <c r="I213"/>
    </row>
    <row r="214" spans="3:9" ht="18" customHeight="1" x14ac:dyDescent="0.3">
      <c r="C214"/>
      <c r="I214"/>
    </row>
    <row r="215" spans="3:9" ht="18" customHeight="1" x14ac:dyDescent="0.3">
      <c r="C215"/>
      <c r="I215"/>
    </row>
    <row r="216" spans="3:9" ht="18" customHeight="1" x14ac:dyDescent="0.3">
      <c r="C216"/>
      <c r="I216"/>
    </row>
    <row r="217" spans="3:9" ht="18" customHeight="1" x14ac:dyDescent="0.3">
      <c r="C217"/>
      <c r="I217"/>
    </row>
    <row r="218" spans="3:9" ht="18" customHeight="1" x14ac:dyDescent="0.3">
      <c r="C218"/>
      <c r="I218"/>
    </row>
    <row r="219" spans="3:9" ht="18" customHeight="1" x14ac:dyDescent="0.3">
      <c r="C219"/>
      <c r="I219"/>
    </row>
    <row r="220" spans="3:9" ht="18" customHeight="1" x14ac:dyDescent="0.3">
      <c r="C220"/>
      <c r="I220"/>
    </row>
    <row r="221" spans="3:9" ht="18" customHeight="1" x14ac:dyDescent="0.3">
      <c r="C221"/>
      <c r="I221"/>
    </row>
    <row r="222" spans="3:9" ht="18" customHeight="1" x14ac:dyDescent="0.3">
      <c r="C222"/>
      <c r="I222"/>
    </row>
    <row r="223" spans="3:9" ht="18" customHeight="1" x14ac:dyDescent="0.3">
      <c r="C223"/>
      <c r="I223"/>
    </row>
    <row r="224" spans="3:9" ht="18" customHeight="1" x14ac:dyDescent="0.3">
      <c r="C224"/>
      <c r="I224"/>
    </row>
    <row r="225" spans="3:9" ht="18" customHeight="1" x14ac:dyDescent="0.3">
      <c r="C225"/>
      <c r="I225"/>
    </row>
    <row r="226" spans="3:9" ht="18" customHeight="1" x14ac:dyDescent="0.3">
      <c r="C226"/>
      <c r="I226"/>
    </row>
    <row r="227" spans="3:9" ht="18" customHeight="1" x14ac:dyDescent="0.3">
      <c r="C227"/>
      <c r="I227"/>
    </row>
    <row r="228" spans="3:9" ht="18" customHeight="1" x14ac:dyDescent="0.3">
      <c r="C228"/>
      <c r="I228"/>
    </row>
    <row r="229" spans="3:9" ht="18" customHeight="1" x14ac:dyDescent="0.3">
      <c r="C229"/>
      <c r="I229"/>
    </row>
    <row r="230" spans="3:9" ht="18" customHeight="1" x14ac:dyDescent="0.3">
      <c r="C230"/>
      <c r="I230"/>
    </row>
    <row r="231" spans="3:9" ht="18" customHeight="1" x14ac:dyDescent="0.3">
      <c r="C231"/>
      <c r="I231"/>
    </row>
    <row r="232" spans="3:9" ht="18" customHeight="1" x14ac:dyDescent="0.3">
      <c r="C232"/>
      <c r="I232"/>
    </row>
    <row r="233" spans="3:9" ht="18" customHeight="1" x14ac:dyDescent="0.3">
      <c r="C233"/>
      <c r="I233"/>
    </row>
    <row r="234" spans="3:9" ht="18" customHeight="1" x14ac:dyDescent="0.3">
      <c r="C234"/>
      <c r="I234"/>
    </row>
    <row r="235" spans="3:9" ht="18" customHeight="1" x14ac:dyDescent="0.3">
      <c r="C235"/>
      <c r="I235"/>
    </row>
    <row r="236" spans="3:9" ht="18" customHeight="1" x14ac:dyDescent="0.3">
      <c r="C236"/>
      <c r="I236"/>
    </row>
    <row r="237" spans="3:9" ht="18" customHeight="1" x14ac:dyDescent="0.3">
      <c r="C237"/>
      <c r="I237"/>
    </row>
    <row r="238" spans="3:9" ht="18" customHeight="1" x14ac:dyDescent="0.3">
      <c r="C238"/>
      <c r="I238"/>
    </row>
    <row r="239" spans="3:9" ht="18" customHeight="1" x14ac:dyDescent="0.3">
      <c r="C239"/>
      <c r="I239"/>
    </row>
    <row r="240" spans="3:9" ht="18" customHeight="1" x14ac:dyDescent="0.3">
      <c r="C240"/>
      <c r="I240"/>
    </row>
    <row r="241" spans="3:9" ht="18" customHeight="1" x14ac:dyDescent="0.3">
      <c r="C241"/>
      <c r="I241"/>
    </row>
    <row r="242" spans="3:9" ht="18" customHeight="1" x14ac:dyDescent="0.3">
      <c r="C242"/>
      <c r="I242"/>
    </row>
    <row r="243" spans="3:9" ht="18" customHeight="1" x14ac:dyDescent="0.3">
      <c r="C243"/>
      <c r="I243"/>
    </row>
    <row r="244" spans="3:9" ht="18" customHeight="1" x14ac:dyDescent="0.3">
      <c r="C244"/>
      <c r="I244"/>
    </row>
    <row r="245" spans="3:9" ht="18" customHeight="1" x14ac:dyDescent="0.3">
      <c r="C245"/>
      <c r="I245"/>
    </row>
    <row r="246" spans="3:9" ht="18" customHeight="1" x14ac:dyDescent="0.3">
      <c r="C246"/>
      <c r="I246"/>
    </row>
    <row r="247" spans="3:9" ht="18" customHeight="1" x14ac:dyDescent="0.3">
      <c r="C247"/>
      <c r="I247"/>
    </row>
    <row r="248" spans="3:9" ht="18" customHeight="1" x14ac:dyDescent="0.3">
      <c r="C248"/>
      <c r="I248"/>
    </row>
    <row r="249" spans="3:9" ht="18" customHeight="1" x14ac:dyDescent="0.3">
      <c r="C249"/>
      <c r="I249"/>
    </row>
    <row r="250" spans="3:9" ht="18" customHeight="1" x14ac:dyDescent="0.3">
      <c r="C250"/>
      <c r="I250"/>
    </row>
    <row r="251" spans="3:9" ht="18" customHeight="1" x14ac:dyDescent="0.3">
      <c r="C251"/>
      <c r="I251"/>
    </row>
    <row r="252" spans="3:9" ht="18" customHeight="1" x14ac:dyDescent="0.3">
      <c r="C252"/>
      <c r="I252"/>
    </row>
    <row r="253" spans="3:9" ht="18" customHeight="1" x14ac:dyDescent="0.3">
      <c r="C253"/>
      <c r="I253"/>
    </row>
    <row r="254" spans="3:9" ht="18" customHeight="1" x14ac:dyDescent="0.3">
      <c r="C254"/>
      <c r="I254"/>
    </row>
    <row r="255" spans="3:9" ht="18" customHeight="1" x14ac:dyDescent="0.3">
      <c r="C255"/>
      <c r="I255"/>
    </row>
    <row r="256" spans="3:9" ht="18" customHeight="1" x14ac:dyDescent="0.3">
      <c r="C256"/>
      <c r="I256"/>
    </row>
    <row r="257" spans="3:9" ht="18" customHeight="1" x14ac:dyDescent="0.3">
      <c r="C257"/>
      <c r="I257"/>
    </row>
    <row r="258" spans="3:9" ht="18" customHeight="1" x14ac:dyDescent="0.3">
      <c r="C258"/>
      <c r="I258"/>
    </row>
    <row r="259" spans="3:9" ht="18" customHeight="1" x14ac:dyDescent="0.3">
      <c r="C259"/>
      <c r="I259"/>
    </row>
    <row r="260" spans="3:9" ht="18" customHeight="1" x14ac:dyDescent="0.3">
      <c r="C260"/>
      <c r="I260"/>
    </row>
    <row r="261" spans="3:9" ht="18" customHeight="1" x14ac:dyDescent="0.3">
      <c r="C261"/>
      <c r="I261"/>
    </row>
    <row r="262" spans="3:9" ht="18" customHeight="1" x14ac:dyDescent="0.3">
      <c r="C262"/>
      <c r="I262"/>
    </row>
    <row r="263" spans="3:9" ht="18" customHeight="1" x14ac:dyDescent="0.3">
      <c r="C263"/>
      <c r="I263"/>
    </row>
    <row r="264" spans="3:9" ht="18" customHeight="1" x14ac:dyDescent="0.3">
      <c r="C264"/>
      <c r="I264"/>
    </row>
    <row r="265" spans="3:9" ht="18" customHeight="1" x14ac:dyDescent="0.3">
      <c r="C265"/>
      <c r="I265"/>
    </row>
    <row r="266" spans="3:9" ht="18" customHeight="1" x14ac:dyDescent="0.3">
      <c r="C266"/>
      <c r="I266"/>
    </row>
    <row r="267" spans="3:9" ht="18" customHeight="1" x14ac:dyDescent="0.3">
      <c r="C267"/>
      <c r="I267"/>
    </row>
    <row r="268" spans="3:9" ht="18" customHeight="1" x14ac:dyDescent="0.3">
      <c r="C268"/>
      <c r="I268"/>
    </row>
    <row r="269" spans="3:9" ht="18" customHeight="1" x14ac:dyDescent="0.3">
      <c r="C269"/>
      <c r="I269"/>
    </row>
    <row r="270" spans="3:9" ht="18" customHeight="1" x14ac:dyDescent="0.3">
      <c r="C270"/>
      <c r="I270"/>
    </row>
    <row r="271" spans="3:9" ht="18" customHeight="1" x14ac:dyDescent="0.3">
      <c r="C271"/>
      <c r="I271"/>
    </row>
    <row r="272" spans="3:9" ht="18" customHeight="1" x14ac:dyDescent="0.3">
      <c r="C272"/>
      <c r="I272"/>
    </row>
    <row r="273" spans="3:9" ht="18" customHeight="1" x14ac:dyDescent="0.3">
      <c r="C273"/>
      <c r="I273"/>
    </row>
    <row r="274" spans="3:9" ht="18" customHeight="1" x14ac:dyDescent="0.3">
      <c r="C274"/>
      <c r="I274"/>
    </row>
    <row r="275" spans="3:9" ht="18" customHeight="1" x14ac:dyDescent="0.3">
      <c r="C275"/>
      <c r="I275"/>
    </row>
    <row r="276" spans="3:9" ht="18" customHeight="1" x14ac:dyDescent="0.3">
      <c r="C276"/>
      <c r="I276"/>
    </row>
    <row r="277" spans="3:9" ht="18" customHeight="1" x14ac:dyDescent="0.3">
      <c r="C277"/>
      <c r="I277"/>
    </row>
    <row r="278" spans="3:9" ht="18" customHeight="1" x14ac:dyDescent="0.3">
      <c r="C278"/>
      <c r="I278"/>
    </row>
    <row r="279" spans="3:9" ht="18" customHeight="1" x14ac:dyDescent="0.3">
      <c r="C279"/>
      <c r="I279"/>
    </row>
    <row r="280" spans="3:9" ht="18" customHeight="1" x14ac:dyDescent="0.3">
      <c r="C280"/>
      <c r="I280"/>
    </row>
    <row r="281" spans="3:9" ht="18" customHeight="1" x14ac:dyDescent="0.3">
      <c r="C281"/>
      <c r="I281"/>
    </row>
    <row r="282" spans="3:9" ht="18" customHeight="1" x14ac:dyDescent="0.3">
      <c r="C282"/>
      <c r="I282"/>
    </row>
    <row r="283" spans="3:9" ht="18" customHeight="1" x14ac:dyDescent="0.3">
      <c r="C283"/>
      <c r="I283"/>
    </row>
    <row r="284" spans="3:9" ht="18" customHeight="1" x14ac:dyDescent="0.3">
      <c r="C284"/>
      <c r="I284"/>
    </row>
    <row r="285" spans="3:9" ht="18" customHeight="1" x14ac:dyDescent="0.3">
      <c r="C285"/>
      <c r="I285"/>
    </row>
    <row r="286" spans="3:9" ht="18" customHeight="1" x14ac:dyDescent="0.3">
      <c r="C286"/>
      <c r="I286"/>
    </row>
    <row r="287" spans="3:9" ht="18" customHeight="1" x14ac:dyDescent="0.3">
      <c r="C287"/>
      <c r="I287"/>
    </row>
    <row r="288" spans="3:9" ht="18" customHeight="1" x14ac:dyDescent="0.3">
      <c r="C288"/>
      <c r="I288"/>
    </row>
    <row r="289" spans="3:9" ht="18" customHeight="1" x14ac:dyDescent="0.3">
      <c r="C289"/>
      <c r="I289"/>
    </row>
    <row r="290" spans="3:9" ht="18" customHeight="1" x14ac:dyDescent="0.3">
      <c r="C290"/>
      <c r="I290"/>
    </row>
    <row r="291" spans="3:9" ht="18" customHeight="1" x14ac:dyDescent="0.3">
      <c r="C291"/>
      <c r="I291"/>
    </row>
    <row r="292" spans="3:9" ht="18" customHeight="1" x14ac:dyDescent="0.3">
      <c r="C292"/>
      <c r="I292"/>
    </row>
    <row r="293" spans="3:9" ht="18" customHeight="1" x14ac:dyDescent="0.3">
      <c r="C293"/>
      <c r="I293"/>
    </row>
    <row r="294" spans="3:9" ht="18" customHeight="1" x14ac:dyDescent="0.3">
      <c r="C294"/>
      <c r="I294"/>
    </row>
    <row r="295" spans="3:9" ht="18" customHeight="1" x14ac:dyDescent="0.3">
      <c r="C295"/>
      <c r="I295"/>
    </row>
    <row r="296" spans="3:9" ht="18" customHeight="1" x14ac:dyDescent="0.3">
      <c r="C296"/>
      <c r="I296"/>
    </row>
    <row r="297" spans="3:9" ht="18" customHeight="1" x14ac:dyDescent="0.3">
      <c r="C297"/>
      <c r="I297"/>
    </row>
    <row r="298" spans="3:9" ht="18" customHeight="1" x14ac:dyDescent="0.3">
      <c r="C298"/>
      <c r="I298"/>
    </row>
    <row r="299" spans="3:9" ht="18" customHeight="1" x14ac:dyDescent="0.3">
      <c r="C299"/>
      <c r="I299"/>
    </row>
    <row r="300" spans="3:9" ht="18" customHeight="1" x14ac:dyDescent="0.3">
      <c r="C300"/>
      <c r="I300"/>
    </row>
    <row r="301" spans="3:9" ht="18" customHeight="1" x14ac:dyDescent="0.3">
      <c r="C301"/>
      <c r="I301"/>
    </row>
    <row r="302" spans="3:9" ht="18" customHeight="1" x14ac:dyDescent="0.3">
      <c r="C302"/>
      <c r="I302"/>
    </row>
    <row r="303" spans="3:9" ht="18" customHeight="1" x14ac:dyDescent="0.3">
      <c r="C303"/>
      <c r="I303"/>
    </row>
    <row r="304" spans="3:9" ht="18" customHeight="1" x14ac:dyDescent="0.3">
      <c r="C304"/>
      <c r="I304"/>
    </row>
    <row r="305" spans="3:9" ht="18" customHeight="1" x14ac:dyDescent="0.3">
      <c r="C305"/>
      <c r="I305"/>
    </row>
    <row r="306" spans="3:9" ht="18" customHeight="1" x14ac:dyDescent="0.3">
      <c r="C306"/>
      <c r="I306"/>
    </row>
    <row r="307" spans="3:9" ht="18" customHeight="1" x14ac:dyDescent="0.3">
      <c r="C307"/>
      <c r="I307"/>
    </row>
    <row r="308" spans="3:9" ht="18" customHeight="1" x14ac:dyDescent="0.3">
      <c r="C308"/>
      <c r="I308"/>
    </row>
    <row r="309" spans="3:9" ht="18" customHeight="1" x14ac:dyDescent="0.3">
      <c r="C309"/>
      <c r="I309"/>
    </row>
    <row r="310" spans="3:9" ht="18" customHeight="1" x14ac:dyDescent="0.3">
      <c r="C310"/>
      <c r="I310"/>
    </row>
    <row r="311" spans="3:9" ht="18" customHeight="1" x14ac:dyDescent="0.3">
      <c r="C311"/>
      <c r="I311"/>
    </row>
    <row r="312" spans="3:9" ht="18" customHeight="1" x14ac:dyDescent="0.3">
      <c r="C312"/>
      <c r="I312"/>
    </row>
    <row r="313" spans="3:9" ht="18" customHeight="1" x14ac:dyDescent="0.3">
      <c r="C313"/>
      <c r="I313"/>
    </row>
    <row r="314" spans="3:9" ht="18" customHeight="1" x14ac:dyDescent="0.3">
      <c r="C314"/>
      <c r="I314"/>
    </row>
    <row r="315" spans="3:9" ht="18" customHeight="1" x14ac:dyDescent="0.3">
      <c r="C315"/>
      <c r="I315"/>
    </row>
    <row r="316" spans="3:9" ht="18" customHeight="1" x14ac:dyDescent="0.3">
      <c r="C316"/>
      <c r="I316"/>
    </row>
    <row r="317" spans="3:9" ht="18" customHeight="1" x14ac:dyDescent="0.3">
      <c r="C317"/>
      <c r="I317"/>
    </row>
    <row r="318" spans="3:9" ht="18" customHeight="1" x14ac:dyDescent="0.3">
      <c r="C318"/>
      <c r="I318"/>
    </row>
    <row r="319" spans="3:9" ht="18" customHeight="1" x14ac:dyDescent="0.3">
      <c r="C319"/>
      <c r="I319"/>
    </row>
    <row r="320" spans="3:9" ht="18" customHeight="1" x14ac:dyDescent="0.3">
      <c r="C320"/>
      <c r="I320"/>
    </row>
    <row r="321" spans="3:9" ht="18" customHeight="1" x14ac:dyDescent="0.3">
      <c r="C321"/>
      <c r="I321"/>
    </row>
    <row r="322" spans="3:9" ht="18" customHeight="1" x14ac:dyDescent="0.3">
      <c r="C322"/>
      <c r="I322"/>
    </row>
    <row r="323" spans="3:9" ht="18" customHeight="1" x14ac:dyDescent="0.3">
      <c r="C323"/>
      <c r="I323"/>
    </row>
    <row r="324" spans="3:9" ht="18" customHeight="1" x14ac:dyDescent="0.3">
      <c r="C324"/>
      <c r="I324"/>
    </row>
    <row r="325" spans="3:9" ht="18" customHeight="1" x14ac:dyDescent="0.3">
      <c r="C325"/>
      <c r="I325"/>
    </row>
    <row r="326" spans="3:9" ht="18" customHeight="1" x14ac:dyDescent="0.3">
      <c r="C326"/>
      <c r="I326"/>
    </row>
    <row r="327" spans="3:9" ht="18" customHeight="1" x14ac:dyDescent="0.3">
      <c r="C327"/>
      <c r="I327"/>
    </row>
    <row r="328" spans="3:9" ht="18" customHeight="1" x14ac:dyDescent="0.3">
      <c r="C328"/>
      <c r="I328"/>
    </row>
    <row r="329" spans="3:9" ht="18" customHeight="1" x14ac:dyDescent="0.3">
      <c r="C329"/>
      <c r="I329"/>
    </row>
    <row r="330" spans="3:9" ht="18" customHeight="1" x14ac:dyDescent="0.3">
      <c r="C330"/>
      <c r="I330"/>
    </row>
    <row r="331" spans="3:9" ht="18" customHeight="1" x14ac:dyDescent="0.3">
      <c r="C331"/>
      <c r="I331"/>
    </row>
    <row r="332" spans="3:9" ht="18" customHeight="1" x14ac:dyDescent="0.3">
      <c r="C332"/>
      <c r="I332"/>
    </row>
    <row r="333" spans="3:9" ht="18" customHeight="1" x14ac:dyDescent="0.3">
      <c r="C333"/>
      <c r="I333"/>
    </row>
    <row r="334" spans="3:9" ht="18" customHeight="1" x14ac:dyDescent="0.3">
      <c r="C334"/>
      <c r="I334"/>
    </row>
    <row r="335" spans="3:9" ht="18" customHeight="1" x14ac:dyDescent="0.3">
      <c r="C335"/>
      <c r="I335"/>
    </row>
    <row r="336" spans="3:9" ht="18" customHeight="1" x14ac:dyDescent="0.3">
      <c r="C336"/>
      <c r="I336"/>
    </row>
    <row r="337" spans="3:9" ht="18" customHeight="1" x14ac:dyDescent="0.3">
      <c r="C337"/>
      <c r="I337"/>
    </row>
    <row r="338" spans="3:9" ht="18" customHeight="1" x14ac:dyDescent="0.3">
      <c r="C338"/>
      <c r="I338"/>
    </row>
    <row r="339" spans="3:9" ht="18" customHeight="1" x14ac:dyDescent="0.3">
      <c r="C339"/>
      <c r="I339"/>
    </row>
    <row r="340" spans="3:9" ht="18" customHeight="1" x14ac:dyDescent="0.3">
      <c r="C340"/>
      <c r="I340"/>
    </row>
    <row r="341" spans="3:9" ht="18" customHeight="1" x14ac:dyDescent="0.3">
      <c r="C341"/>
      <c r="I341"/>
    </row>
    <row r="342" spans="3:9" ht="18" customHeight="1" x14ac:dyDescent="0.3">
      <c r="C342"/>
      <c r="I342"/>
    </row>
    <row r="343" spans="3:9" ht="18" customHeight="1" x14ac:dyDescent="0.3">
      <c r="C343"/>
      <c r="I343"/>
    </row>
    <row r="344" spans="3:9" ht="18" customHeight="1" x14ac:dyDescent="0.3">
      <c r="C344"/>
      <c r="I344"/>
    </row>
    <row r="345" spans="3:9" ht="18" customHeight="1" x14ac:dyDescent="0.3">
      <c r="C345"/>
      <c r="I345"/>
    </row>
    <row r="346" spans="3:9" ht="18" customHeight="1" x14ac:dyDescent="0.3">
      <c r="C346"/>
      <c r="I346"/>
    </row>
    <row r="347" spans="3:9" ht="18" customHeight="1" x14ac:dyDescent="0.3">
      <c r="C347"/>
      <c r="I347"/>
    </row>
    <row r="348" spans="3:9" ht="18" customHeight="1" x14ac:dyDescent="0.3">
      <c r="C348"/>
      <c r="I348"/>
    </row>
    <row r="349" spans="3:9" ht="18" customHeight="1" x14ac:dyDescent="0.3">
      <c r="C349"/>
      <c r="I349"/>
    </row>
    <row r="350" spans="3:9" ht="18" customHeight="1" x14ac:dyDescent="0.3">
      <c r="C350"/>
      <c r="I350"/>
    </row>
    <row r="351" spans="3:9" ht="18" customHeight="1" x14ac:dyDescent="0.3">
      <c r="C351"/>
      <c r="I351"/>
    </row>
    <row r="352" spans="3:9" ht="18" customHeight="1" x14ac:dyDescent="0.3">
      <c r="C352"/>
      <c r="I352"/>
    </row>
    <row r="353" spans="3:9" ht="18" customHeight="1" x14ac:dyDescent="0.3">
      <c r="C353"/>
      <c r="I353"/>
    </row>
    <row r="354" spans="3:9" ht="18" customHeight="1" x14ac:dyDescent="0.3">
      <c r="C354"/>
      <c r="I354"/>
    </row>
    <row r="355" spans="3:9" ht="18" customHeight="1" x14ac:dyDescent="0.3">
      <c r="C355"/>
      <c r="I355"/>
    </row>
    <row r="356" spans="3:9" ht="18" customHeight="1" x14ac:dyDescent="0.3">
      <c r="C356"/>
      <c r="I356"/>
    </row>
    <row r="357" spans="3:9" ht="18" customHeight="1" x14ac:dyDescent="0.3">
      <c r="C357"/>
      <c r="I357"/>
    </row>
    <row r="358" spans="3:9" ht="18" customHeight="1" x14ac:dyDescent="0.3">
      <c r="C358"/>
      <c r="I358"/>
    </row>
    <row r="359" spans="3:9" ht="18" customHeight="1" x14ac:dyDescent="0.3">
      <c r="C359"/>
      <c r="I359"/>
    </row>
    <row r="360" spans="3:9" ht="18" customHeight="1" x14ac:dyDescent="0.3">
      <c r="C360"/>
      <c r="I360"/>
    </row>
    <row r="361" spans="3:9" ht="18" customHeight="1" x14ac:dyDescent="0.3">
      <c r="C361"/>
      <c r="I361"/>
    </row>
    <row r="362" spans="3:9" ht="18" customHeight="1" x14ac:dyDescent="0.3">
      <c r="C362"/>
      <c r="I362"/>
    </row>
    <row r="363" spans="3:9" ht="18" customHeight="1" x14ac:dyDescent="0.3">
      <c r="C363"/>
      <c r="I363"/>
    </row>
    <row r="364" spans="3:9" ht="18" customHeight="1" x14ac:dyDescent="0.3">
      <c r="C364"/>
      <c r="I364"/>
    </row>
    <row r="365" spans="3:9" ht="18" customHeight="1" x14ac:dyDescent="0.3">
      <c r="C365"/>
      <c r="I365"/>
    </row>
    <row r="366" spans="3:9" ht="18" customHeight="1" x14ac:dyDescent="0.3">
      <c r="C366"/>
      <c r="I366"/>
    </row>
    <row r="367" spans="3:9" ht="18" customHeight="1" x14ac:dyDescent="0.3">
      <c r="C367"/>
      <c r="I367"/>
    </row>
    <row r="368" spans="3:9" ht="18" customHeight="1" x14ac:dyDescent="0.3">
      <c r="C368"/>
      <c r="I368"/>
    </row>
    <row r="369" spans="3:9" ht="18" customHeight="1" x14ac:dyDescent="0.3">
      <c r="C369"/>
      <c r="I369"/>
    </row>
    <row r="370" spans="3:9" ht="18" customHeight="1" x14ac:dyDescent="0.3">
      <c r="C370"/>
      <c r="I370"/>
    </row>
    <row r="371" spans="3:9" ht="18" customHeight="1" x14ac:dyDescent="0.3">
      <c r="C371"/>
      <c r="I371"/>
    </row>
    <row r="372" spans="3:9" ht="18" customHeight="1" x14ac:dyDescent="0.3">
      <c r="C372"/>
      <c r="I372"/>
    </row>
    <row r="373" spans="3:9" ht="18" customHeight="1" x14ac:dyDescent="0.3">
      <c r="C373"/>
      <c r="I373"/>
    </row>
    <row r="374" spans="3:9" ht="18" customHeight="1" x14ac:dyDescent="0.3">
      <c r="C374"/>
      <c r="I374"/>
    </row>
    <row r="375" spans="3:9" ht="18" customHeight="1" x14ac:dyDescent="0.3">
      <c r="C375"/>
      <c r="I375"/>
    </row>
    <row r="376" spans="3:9" ht="18" customHeight="1" x14ac:dyDescent="0.3">
      <c r="C376"/>
      <c r="I376"/>
    </row>
    <row r="377" spans="3:9" ht="18" customHeight="1" x14ac:dyDescent="0.3">
      <c r="C377"/>
      <c r="I377"/>
    </row>
    <row r="378" spans="3:9" ht="18" customHeight="1" x14ac:dyDescent="0.3">
      <c r="C378"/>
      <c r="I378"/>
    </row>
    <row r="379" spans="3:9" ht="18" customHeight="1" x14ac:dyDescent="0.3">
      <c r="C379"/>
      <c r="I379"/>
    </row>
    <row r="380" spans="3:9" ht="18" customHeight="1" x14ac:dyDescent="0.3">
      <c r="C380"/>
      <c r="I380"/>
    </row>
    <row r="381" spans="3:9" ht="18" customHeight="1" x14ac:dyDescent="0.3">
      <c r="C381"/>
      <c r="I381"/>
    </row>
    <row r="382" spans="3:9" ht="18" customHeight="1" x14ac:dyDescent="0.3">
      <c r="C382"/>
      <c r="I382"/>
    </row>
    <row r="383" spans="3:9" ht="18" customHeight="1" x14ac:dyDescent="0.3">
      <c r="C383"/>
      <c r="I383"/>
    </row>
    <row r="384" spans="3:9" ht="18" customHeight="1" x14ac:dyDescent="0.3">
      <c r="C384"/>
      <c r="I384"/>
    </row>
    <row r="385" spans="3:9" ht="18" customHeight="1" x14ac:dyDescent="0.3">
      <c r="C385"/>
      <c r="I385"/>
    </row>
    <row r="386" spans="3:9" ht="18" customHeight="1" x14ac:dyDescent="0.3">
      <c r="C386"/>
      <c r="I386"/>
    </row>
    <row r="387" spans="3:9" ht="18" customHeight="1" x14ac:dyDescent="0.3">
      <c r="C387"/>
      <c r="I387"/>
    </row>
    <row r="388" spans="3:9" ht="18" customHeight="1" x14ac:dyDescent="0.3">
      <c r="C388"/>
      <c r="I388"/>
    </row>
    <row r="389" spans="3:9" ht="18" customHeight="1" x14ac:dyDescent="0.3">
      <c r="C389"/>
      <c r="I389"/>
    </row>
    <row r="390" spans="3:9" ht="18" customHeight="1" x14ac:dyDescent="0.3">
      <c r="C390"/>
      <c r="I390"/>
    </row>
    <row r="391" spans="3:9" ht="18" customHeight="1" x14ac:dyDescent="0.3">
      <c r="C391"/>
      <c r="I391"/>
    </row>
    <row r="392" spans="3:9" ht="18" customHeight="1" x14ac:dyDescent="0.3">
      <c r="C392"/>
      <c r="I392"/>
    </row>
    <row r="393" spans="3:9" ht="18" customHeight="1" x14ac:dyDescent="0.3">
      <c r="C393"/>
      <c r="I393"/>
    </row>
    <row r="394" spans="3:9" ht="18" customHeight="1" x14ac:dyDescent="0.3">
      <c r="C394"/>
      <c r="I394"/>
    </row>
    <row r="395" spans="3:9" ht="18" customHeight="1" x14ac:dyDescent="0.3">
      <c r="C395"/>
      <c r="I395"/>
    </row>
    <row r="396" spans="3:9" ht="18" customHeight="1" x14ac:dyDescent="0.3">
      <c r="C396"/>
      <c r="I396"/>
    </row>
    <row r="397" spans="3:9" ht="18" customHeight="1" x14ac:dyDescent="0.3">
      <c r="C397"/>
      <c r="I397"/>
    </row>
    <row r="398" spans="3:9" ht="18" customHeight="1" x14ac:dyDescent="0.3">
      <c r="C398"/>
      <c r="I398"/>
    </row>
    <row r="399" spans="3:9" ht="18" customHeight="1" x14ac:dyDescent="0.3">
      <c r="C399"/>
      <c r="I399"/>
    </row>
    <row r="400" spans="3:9" ht="18" customHeight="1" x14ac:dyDescent="0.3">
      <c r="C400"/>
      <c r="I400"/>
    </row>
    <row r="401" spans="3:9" ht="18" customHeight="1" x14ac:dyDescent="0.3">
      <c r="C401"/>
      <c r="I401"/>
    </row>
    <row r="402" spans="3:9" ht="18" customHeight="1" x14ac:dyDescent="0.3">
      <c r="C402"/>
      <c r="I402"/>
    </row>
    <row r="403" spans="3:9" ht="18" customHeight="1" x14ac:dyDescent="0.3">
      <c r="C403"/>
      <c r="I403"/>
    </row>
    <row r="404" spans="3:9" ht="18" customHeight="1" x14ac:dyDescent="0.3">
      <c r="C404"/>
      <c r="I404"/>
    </row>
    <row r="405" spans="3:9" ht="18" customHeight="1" x14ac:dyDescent="0.3">
      <c r="C405"/>
      <c r="I405"/>
    </row>
    <row r="406" spans="3:9" ht="18" customHeight="1" x14ac:dyDescent="0.3">
      <c r="C406"/>
      <c r="I406"/>
    </row>
    <row r="407" spans="3:9" ht="18" customHeight="1" x14ac:dyDescent="0.3">
      <c r="C407"/>
      <c r="I407"/>
    </row>
    <row r="408" spans="3:9" ht="18" customHeight="1" x14ac:dyDescent="0.3">
      <c r="C408"/>
      <c r="I408"/>
    </row>
    <row r="409" spans="3:9" ht="18" customHeight="1" x14ac:dyDescent="0.3">
      <c r="C409"/>
      <c r="I409"/>
    </row>
    <row r="410" spans="3:9" ht="18" customHeight="1" x14ac:dyDescent="0.3">
      <c r="C410"/>
      <c r="I410"/>
    </row>
    <row r="411" spans="3:9" ht="18" customHeight="1" x14ac:dyDescent="0.3">
      <c r="C411"/>
      <c r="I411"/>
    </row>
    <row r="412" spans="3:9" ht="18" customHeight="1" x14ac:dyDescent="0.3">
      <c r="C412"/>
      <c r="I412"/>
    </row>
    <row r="413" spans="3:9" ht="18" customHeight="1" x14ac:dyDescent="0.3">
      <c r="C413"/>
      <c r="I413"/>
    </row>
    <row r="414" spans="3:9" ht="18" customHeight="1" x14ac:dyDescent="0.3">
      <c r="C414"/>
      <c r="I414"/>
    </row>
    <row r="415" spans="3:9" ht="18" customHeight="1" x14ac:dyDescent="0.3">
      <c r="C415"/>
      <c r="I415"/>
    </row>
    <row r="416" spans="3:9" ht="18" customHeight="1" x14ac:dyDescent="0.3">
      <c r="C416"/>
      <c r="I416"/>
    </row>
    <row r="417" spans="3:9" ht="18" customHeight="1" x14ac:dyDescent="0.3">
      <c r="C417"/>
      <c r="I417"/>
    </row>
    <row r="418" spans="3:9" ht="18" customHeight="1" x14ac:dyDescent="0.3">
      <c r="C418"/>
      <c r="I418"/>
    </row>
    <row r="419" spans="3:9" ht="18" customHeight="1" x14ac:dyDescent="0.3">
      <c r="C419"/>
      <c r="I419"/>
    </row>
    <row r="420" spans="3:9" ht="18" customHeight="1" x14ac:dyDescent="0.3">
      <c r="C420"/>
      <c r="I420"/>
    </row>
    <row r="421" spans="3:9" ht="18" customHeight="1" x14ac:dyDescent="0.3">
      <c r="C421"/>
      <c r="I421"/>
    </row>
    <row r="422" spans="3:9" ht="18" customHeight="1" x14ac:dyDescent="0.3">
      <c r="C422"/>
      <c r="I422"/>
    </row>
    <row r="423" spans="3:9" ht="18" customHeight="1" x14ac:dyDescent="0.3">
      <c r="C423"/>
      <c r="I423"/>
    </row>
    <row r="424" spans="3:9" ht="18" customHeight="1" x14ac:dyDescent="0.3">
      <c r="C424"/>
      <c r="I424"/>
    </row>
    <row r="425" spans="3:9" ht="18" customHeight="1" x14ac:dyDescent="0.3">
      <c r="C425"/>
      <c r="I425"/>
    </row>
    <row r="426" spans="3:9" ht="18" customHeight="1" x14ac:dyDescent="0.3">
      <c r="C426"/>
      <c r="I426"/>
    </row>
    <row r="427" spans="3:9" ht="18" customHeight="1" x14ac:dyDescent="0.3">
      <c r="C427"/>
      <c r="I427"/>
    </row>
    <row r="428" spans="3:9" ht="18" customHeight="1" x14ac:dyDescent="0.3">
      <c r="C428"/>
      <c r="I428"/>
    </row>
    <row r="429" spans="3:9" ht="18" customHeight="1" x14ac:dyDescent="0.3">
      <c r="C429"/>
      <c r="I429"/>
    </row>
    <row r="430" spans="3:9" ht="18" customHeight="1" x14ac:dyDescent="0.3">
      <c r="C430"/>
      <c r="I430"/>
    </row>
    <row r="431" spans="3:9" ht="18" customHeight="1" x14ac:dyDescent="0.3">
      <c r="C431"/>
      <c r="I431"/>
    </row>
    <row r="432" spans="3:9" ht="18" customHeight="1" x14ac:dyDescent="0.3">
      <c r="C432"/>
      <c r="I432"/>
    </row>
    <row r="433" spans="3:9" ht="18" customHeight="1" x14ac:dyDescent="0.3">
      <c r="C433"/>
      <c r="I433"/>
    </row>
    <row r="434" spans="3:9" ht="18" customHeight="1" x14ac:dyDescent="0.3">
      <c r="C434"/>
      <c r="I434"/>
    </row>
    <row r="435" spans="3:9" ht="18" customHeight="1" x14ac:dyDescent="0.3">
      <c r="C435"/>
      <c r="I435"/>
    </row>
    <row r="436" spans="3:9" ht="18" customHeight="1" x14ac:dyDescent="0.3">
      <c r="C436"/>
      <c r="I436"/>
    </row>
    <row r="437" spans="3:9" ht="18" customHeight="1" x14ac:dyDescent="0.3">
      <c r="C437"/>
      <c r="I437"/>
    </row>
    <row r="438" spans="3:9" ht="18" customHeight="1" x14ac:dyDescent="0.3">
      <c r="C438"/>
      <c r="I438"/>
    </row>
    <row r="439" spans="3:9" ht="18" customHeight="1" x14ac:dyDescent="0.3">
      <c r="C439"/>
      <c r="I439"/>
    </row>
    <row r="440" spans="3:9" ht="18" customHeight="1" x14ac:dyDescent="0.3">
      <c r="C440"/>
      <c r="I440"/>
    </row>
    <row r="441" spans="3:9" ht="18" customHeight="1" x14ac:dyDescent="0.3">
      <c r="C441"/>
      <c r="I441"/>
    </row>
    <row r="442" spans="3:9" ht="18" customHeight="1" x14ac:dyDescent="0.3">
      <c r="C442"/>
      <c r="I442"/>
    </row>
    <row r="443" spans="3:9" ht="18" customHeight="1" x14ac:dyDescent="0.3">
      <c r="C443"/>
      <c r="I443"/>
    </row>
    <row r="444" spans="3:9" ht="18" customHeight="1" x14ac:dyDescent="0.3">
      <c r="C444"/>
      <c r="I444"/>
    </row>
    <row r="445" spans="3:9" ht="18" customHeight="1" x14ac:dyDescent="0.3">
      <c r="C445"/>
      <c r="I445"/>
    </row>
    <row r="446" spans="3:9" ht="18" customHeight="1" x14ac:dyDescent="0.3">
      <c r="C446"/>
      <c r="I446"/>
    </row>
    <row r="447" spans="3:9" ht="18" customHeight="1" x14ac:dyDescent="0.3">
      <c r="C447"/>
      <c r="I447"/>
    </row>
    <row r="448" spans="3:9" ht="18" customHeight="1" x14ac:dyDescent="0.3">
      <c r="C448"/>
      <c r="I448"/>
    </row>
    <row r="449" spans="3:9" ht="18" customHeight="1" x14ac:dyDescent="0.3">
      <c r="C449"/>
      <c r="I449"/>
    </row>
    <row r="450" spans="3:9" ht="18" customHeight="1" x14ac:dyDescent="0.3">
      <c r="C450"/>
      <c r="I450"/>
    </row>
    <row r="451" spans="3:9" ht="18" customHeight="1" x14ac:dyDescent="0.3">
      <c r="C451"/>
      <c r="I451"/>
    </row>
    <row r="452" spans="3:9" ht="18" customHeight="1" x14ac:dyDescent="0.3">
      <c r="C452"/>
      <c r="I452"/>
    </row>
    <row r="453" spans="3:9" ht="18" customHeight="1" x14ac:dyDescent="0.3">
      <c r="C453"/>
      <c r="I453"/>
    </row>
    <row r="454" spans="3:9" ht="18" customHeight="1" x14ac:dyDescent="0.3">
      <c r="C454"/>
      <c r="I454"/>
    </row>
    <row r="455" spans="3:9" ht="18" customHeight="1" x14ac:dyDescent="0.3">
      <c r="C455"/>
      <c r="I455"/>
    </row>
    <row r="456" spans="3:9" ht="18" customHeight="1" x14ac:dyDescent="0.3">
      <c r="C456"/>
      <c r="I456"/>
    </row>
    <row r="457" spans="3:9" ht="18" customHeight="1" x14ac:dyDescent="0.3">
      <c r="C457"/>
      <c r="I457"/>
    </row>
    <row r="458" spans="3:9" ht="18" customHeight="1" x14ac:dyDescent="0.3">
      <c r="C458"/>
      <c r="I458"/>
    </row>
    <row r="459" spans="3:9" ht="18" customHeight="1" x14ac:dyDescent="0.3">
      <c r="C459"/>
      <c r="I459"/>
    </row>
    <row r="460" spans="3:9" ht="18" customHeight="1" x14ac:dyDescent="0.3">
      <c r="C460"/>
      <c r="I460"/>
    </row>
    <row r="461" spans="3:9" ht="18" customHeight="1" x14ac:dyDescent="0.3">
      <c r="C461"/>
      <c r="I461"/>
    </row>
    <row r="462" spans="3:9" ht="18" customHeight="1" x14ac:dyDescent="0.3">
      <c r="C462"/>
      <c r="I462"/>
    </row>
    <row r="463" spans="3:9" ht="18" customHeight="1" x14ac:dyDescent="0.3">
      <c r="C463"/>
      <c r="I463"/>
    </row>
    <row r="464" spans="3:9" ht="18" customHeight="1" x14ac:dyDescent="0.3">
      <c r="C464"/>
      <c r="I464"/>
    </row>
    <row r="465" spans="3:9" ht="18" customHeight="1" x14ac:dyDescent="0.3">
      <c r="C465"/>
      <c r="I465"/>
    </row>
    <row r="466" spans="3:9" ht="18" customHeight="1" x14ac:dyDescent="0.3">
      <c r="C466"/>
      <c r="I466"/>
    </row>
    <row r="467" spans="3:9" ht="18" customHeight="1" x14ac:dyDescent="0.3">
      <c r="C467"/>
      <c r="I467"/>
    </row>
    <row r="468" spans="3:9" ht="18" customHeight="1" x14ac:dyDescent="0.3">
      <c r="C468"/>
      <c r="I468"/>
    </row>
    <row r="469" spans="3:9" ht="18" customHeight="1" x14ac:dyDescent="0.3">
      <c r="C469"/>
      <c r="I469"/>
    </row>
    <row r="470" spans="3:9" ht="18" customHeight="1" x14ac:dyDescent="0.3">
      <c r="C470"/>
      <c r="I470"/>
    </row>
    <row r="471" spans="3:9" ht="18" customHeight="1" x14ac:dyDescent="0.3">
      <c r="C471"/>
      <c r="I471"/>
    </row>
    <row r="472" spans="3:9" ht="18" customHeight="1" x14ac:dyDescent="0.3">
      <c r="C472"/>
      <c r="I472"/>
    </row>
    <row r="473" spans="3:9" ht="18" customHeight="1" x14ac:dyDescent="0.3">
      <c r="C473"/>
      <c r="I473"/>
    </row>
    <row r="474" spans="3:9" ht="18" customHeight="1" x14ac:dyDescent="0.3">
      <c r="C474"/>
      <c r="I474"/>
    </row>
    <row r="475" spans="3:9" ht="18" customHeight="1" x14ac:dyDescent="0.3">
      <c r="C475"/>
      <c r="I475"/>
    </row>
    <row r="476" spans="3:9" ht="18" customHeight="1" x14ac:dyDescent="0.3">
      <c r="C476"/>
      <c r="I476"/>
    </row>
    <row r="477" spans="3:9" ht="18" customHeight="1" x14ac:dyDescent="0.3">
      <c r="C477"/>
      <c r="I477"/>
    </row>
    <row r="478" spans="3:9" ht="18" customHeight="1" x14ac:dyDescent="0.3">
      <c r="C478"/>
      <c r="I478"/>
    </row>
    <row r="479" spans="3:9" ht="18" customHeight="1" x14ac:dyDescent="0.3">
      <c r="C479"/>
      <c r="I479"/>
    </row>
    <row r="480" spans="3:9" ht="18" customHeight="1" x14ac:dyDescent="0.3">
      <c r="C480"/>
      <c r="I480"/>
    </row>
    <row r="481" spans="3:9" ht="18" customHeight="1" x14ac:dyDescent="0.3">
      <c r="C481"/>
      <c r="I481"/>
    </row>
    <row r="482" spans="3:9" ht="18" customHeight="1" x14ac:dyDescent="0.3">
      <c r="C482"/>
      <c r="I482"/>
    </row>
    <row r="483" spans="3:9" ht="18" customHeight="1" x14ac:dyDescent="0.3">
      <c r="C483"/>
      <c r="I483"/>
    </row>
    <row r="484" spans="3:9" ht="18" customHeight="1" x14ac:dyDescent="0.3">
      <c r="C484"/>
      <c r="I484"/>
    </row>
    <row r="485" spans="3:9" ht="18" customHeight="1" x14ac:dyDescent="0.3">
      <c r="C485"/>
      <c r="I485"/>
    </row>
    <row r="486" spans="3:9" ht="18" customHeight="1" x14ac:dyDescent="0.3">
      <c r="C486"/>
      <c r="I486"/>
    </row>
    <row r="487" spans="3:9" ht="18" customHeight="1" x14ac:dyDescent="0.3">
      <c r="C487"/>
      <c r="I487"/>
    </row>
    <row r="488" spans="3:9" ht="18" customHeight="1" x14ac:dyDescent="0.3">
      <c r="C488"/>
      <c r="I488"/>
    </row>
    <row r="489" spans="3:9" ht="18" customHeight="1" x14ac:dyDescent="0.3">
      <c r="C489"/>
      <c r="I489"/>
    </row>
    <row r="490" spans="3:9" ht="18" customHeight="1" x14ac:dyDescent="0.3">
      <c r="C490"/>
      <c r="I490"/>
    </row>
    <row r="491" spans="3:9" ht="18" customHeight="1" x14ac:dyDescent="0.3">
      <c r="C491"/>
      <c r="I491"/>
    </row>
    <row r="492" spans="3:9" ht="18" customHeight="1" x14ac:dyDescent="0.3">
      <c r="C492"/>
      <c r="I492"/>
    </row>
    <row r="493" spans="3:9" ht="18" customHeight="1" x14ac:dyDescent="0.3">
      <c r="C493"/>
      <c r="I493"/>
    </row>
    <row r="494" spans="3:9" ht="18" customHeight="1" x14ac:dyDescent="0.3">
      <c r="C494"/>
      <c r="I494"/>
    </row>
    <row r="495" spans="3:9" ht="18" customHeight="1" x14ac:dyDescent="0.3">
      <c r="C495"/>
      <c r="I495"/>
    </row>
    <row r="496" spans="3:9" ht="18" customHeight="1" x14ac:dyDescent="0.3">
      <c r="C496"/>
      <c r="I496"/>
    </row>
    <row r="497" spans="3:9" ht="18" customHeight="1" x14ac:dyDescent="0.3">
      <c r="C497"/>
      <c r="I497"/>
    </row>
    <row r="498" spans="3:9" ht="18" customHeight="1" x14ac:dyDescent="0.3">
      <c r="C498"/>
      <c r="I498"/>
    </row>
    <row r="499" spans="3:9" ht="18" customHeight="1" x14ac:dyDescent="0.3">
      <c r="C499"/>
      <c r="I499"/>
    </row>
    <row r="500" spans="3:9" ht="18" customHeight="1" x14ac:dyDescent="0.3">
      <c r="C500"/>
      <c r="I500"/>
    </row>
    <row r="501" spans="3:9" ht="18" customHeight="1" x14ac:dyDescent="0.3">
      <c r="C501"/>
      <c r="I501"/>
    </row>
    <row r="502" spans="3:9" ht="18" customHeight="1" x14ac:dyDescent="0.3">
      <c r="C502"/>
      <c r="I502"/>
    </row>
    <row r="503" spans="3:9" ht="18" customHeight="1" x14ac:dyDescent="0.3">
      <c r="C503"/>
      <c r="I503"/>
    </row>
    <row r="504" spans="3:9" ht="18" customHeight="1" x14ac:dyDescent="0.3">
      <c r="C504"/>
      <c r="I504"/>
    </row>
    <row r="505" spans="3:9" ht="18" customHeight="1" x14ac:dyDescent="0.3">
      <c r="C505"/>
      <c r="I505"/>
    </row>
    <row r="506" spans="3:9" ht="18" customHeight="1" x14ac:dyDescent="0.3">
      <c r="C506"/>
      <c r="I506"/>
    </row>
    <row r="507" spans="3:9" ht="18" customHeight="1" x14ac:dyDescent="0.3">
      <c r="C507"/>
      <c r="I507"/>
    </row>
    <row r="508" spans="3:9" ht="18" customHeight="1" x14ac:dyDescent="0.3">
      <c r="C508"/>
      <c r="I508"/>
    </row>
    <row r="509" spans="3:9" ht="18" customHeight="1" x14ac:dyDescent="0.3">
      <c r="C509"/>
      <c r="I509"/>
    </row>
    <row r="510" spans="3:9" ht="18" customHeight="1" x14ac:dyDescent="0.3">
      <c r="C510"/>
      <c r="I510"/>
    </row>
    <row r="511" spans="3:9" ht="18" customHeight="1" x14ac:dyDescent="0.3">
      <c r="C511"/>
      <c r="I511"/>
    </row>
    <row r="512" spans="3:9" ht="18" customHeight="1" x14ac:dyDescent="0.3">
      <c r="C512"/>
      <c r="I512"/>
    </row>
    <row r="513" spans="3:9" ht="18" customHeight="1" x14ac:dyDescent="0.3">
      <c r="C513"/>
      <c r="I513"/>
    </row>
    <row r="514" spans="3:9" ht="18" customHeight="1" x14ac:dyDescent="0.3">
      <c r="C514"/>
      <c r="I514"/>
    </row>
    <row r="515" spans="3:9" ht="18" customHeight="1" x14ac:dyDescent="0.3">
      <c r="C515"/>
      <c r="I515"/>
    </row>
    <row r="516" spans="3:9" ht="18" customHeight="1" x14ac:dyDescent="0.3">
      <c r="C516"/>
      <c r="I516"/>
    </row>
    <row r="517" spans="3:9" ht="18" customHeight="1" x14ac:dyDescent="0.3">
      <c r="C517"/>
      <c r="I517"/>
    </row>
    <row r="518" spans="3:9" ht="18" customHeight="1" x14ac:dyDescent="0.3">
      <c r="C518"/>
      <c r="I518"/>
    </row>
    <row r="519" spans="3:9" ht="18" customHeight="1" x14ac:dyDescent="0.3">
      <c r="C519"/>
      <c r="I519"/>
    </row>
    <row r="520" spans="3:9" ht="18" customHeight="1" x14ac:dyDescent="0.3">
      <c r="C520"/>
      <c r="I520"/>
    </row>
    <row r="521" spans="3:9" ht="18" customHeight="1" x14ac:dyDescent="0.3">
      <c r="C521"/>
      <c r="I521"/>
    </row>
    <row r="522" spans="3:9" ht="18" customHeight="1" x14ac:dyDescent="0.3">
      <c r="C522"/>
      <c r="I522"/>
    </row>
    <row r="523" spans="3:9" ht="18" customHeight="1" x14ac:dyDescent="0.3">
      <c r="C523"/>
      <c r="I523"/>
    </row>
    <row r="524" spans="3:9" ht="18" customHeight="1" x14ac:dyDescent="0.3">
      <c r="C524"/>
      <c r="I524"/>
    </row>
    <row r="525" spans="3:9" ht="18" customHeight="1" x14ac:dyDescent="0.3">
      <c r="C525"/>
      <c r="I525"/>
    </row>
    <row r="526" spans="3:9" ht="18" customHeight="1" x14ac:dyDescent="0.3">
      <c r="C526"/>
      <c r="I526"/>
    </row>
    <row r="527" spans="3:9" ht="18" customHeight="1" x14ac:dyDescent="0.3">
      <c r="C527"/>
      <c r="I527"/>
    </row>
    <row r="528" spans="3:9" ht="18" customHeight="1" x14ac:dyDescent="0.3">
      <c r="C528"/>
      <c r="I528"/>
    </row>
    <row r="529" spans="3:9" ht="18" customHeight="1" x14ac:dyDescent="0.3">
      <c r="C529"/>
      <c r="I529"/>
    </row>
    <row r="530" spans="3:9" ht="18" customHeight="1" x14ac:dyDescent="0.3">
      <c r="C530"/>
      <c r="I530"/>
    </row>
    <row r="531" spans="3:9" ht="18" customHeight="1" x14ac:dyDescent="0.3">
      <c r="C531"/>
      <c r="I531"/>
    </row>
    <row r="532" spans="3:9" ht="18" customHeight="1" x14ac:dyDescent="0.3">
      <c r="C532"/>
      <c r="I532"/>
    </row>
    <row r="533" spans="3:9" ht="18" customHeight="1" x14ac:dyDescent="0.3">
      <c r="C533"/>
      <c r="I533"/>
    </row>
    <row r="534" spans="3:9" ht="18" customHeight="1" x14ac:dyDescent="0.3">
      <c r="C534"/>
      <c r="I534"/>
    </row>
    <row r="535" spans="3:9" ht="18" customHeight="1" x14ac:dyDescent="0.3">
      <c r="C535"/>
      <c r="I535"/>
    </row>
    <row r="536" spans="3:9" ht="18" customHeight="1" x14ac:dyDescent="0.3">
      <c r="C536"/>
      <c r="I536"/>
    </row>
    <row r="537" spans="3:9" ht="18" customHeight="1" x14ac:dyDescent="0.3">
      <c r="C537"/>
      <c r="I537"/>
    </row>
    <row r="538" spans="3:9" ht="18" customHeight="1" x14ac:dyDescent="0.3">
      <c r="C538"/>
      <c r="I538"/>
    </row>
    <row r="539" spans="3:9" ht="18" customHeight="1" x14ac:dyDescent="0.3">
      <c r="C539"/>
      <c r="I539"/>
    </row>
    <row r="540" spans="3:9" ht="18" customHeight="1" x14ac:dyDescent="0.3">
      <c r="C540"/>
      <c r="I540"/>
    </row>
    <row r="541" spans="3:9" ht="18" customHeight="1" x14ac:dyDescent="0.3">
      <c r="C541"/>
      <c r="I541"/>
    </row>
    <row r="542" spans="3:9" ht="18" customHeight="1" x14ac:dyDescent="0.3">
      <c r="C542"/>
      <c r="I542"/>
    </row>
    <row r="543" spans="3:9" ht="18" customHeight="1" x14ac:dyDescent="0.3">
      <c r="C543"/>
      <c r="I543"/>
    </row>
    <row r="544" spans="3:9" ht="18" customHeight="1" x14ac:dyDescent="0.3">
      <c r="C544"/>
      <c r="I544"/>
    </row>
    <row r="545" spans="3:9" ht="18" customHeight="1" x14ac:dyDescent="0.3">
      <c r="C545"/>
      <c r="I545"/>
    </row>
    <row r="546" spans="3:9" ht="18" customHeight="1" x14ac:dyDescent="0.3">
      <c r="C546"/>
      <c r="I546"/>
    </row>
    <row r="547" spans="3:9" ht="18" customHeight="1" x14ac:dyDescent="0.3">
      <c r="C547"/>
      <c r="I547"/>
    </row>
    <row r="548" spans="3:9" ht="18" customHeight="1" x14ac:dyDescent="0.3">
      <c r="C548"/>
      <c r="I548"/>
    </row>
    <row r="549" spans="3:9" ht="18" customHeight="1" x14ac:dyDescent="0.3">
      <c r="C549"/>
      <c r="I549"/>
    </row>
    <row r="550" spans="3:9" ht="18" customHeight="1" x14ac:dyDescent="0.3">
      <c r="C550"/>
      <c r="I550"/>
    </row>
    <row r="551" spans="3:9" ht="18" customHeight="1" x14ac:dyDescent="0.3">
      <c r="C551"/>
      <c r="I551"/>
    </row>
    <row r="552" spans="3:9" ht="18" customHeight="1" x14ac:dyDescent="0.3">
      <c r="C552"/>
      <c r="I552"/>
    </row>
    <row r="553" spans="3:9" ht="18" customHeight="1" x14ac:dyDescent="0.3">
      <c r="C553"/>
      <c r="I553"/>
    </row>
    <row r="554" spans="3:9" ht="18" customHeight="1" x14ac:dyDescent="0.3">
      <c r="C554"/>
      <c r="I554"/>
    </row>
    <row r="555" spans="3:9" ht="18" customHeight="1" x14ac:dyDescent="0.3">
      <c r="C555"/>
      <c r="I555"/>
    </row>
    <row r="556" spans="3:9" ht="18" customHeight="1" x14ac:dyDescent="0.3">
      <c r="C556"/>
      <c r="I556"/>
    </row>
    <row r="557" spans="3:9" ht="18" customHeight="1" x14ac:dyDescent="0.3">
      <c r="C557"/>
      <c r="I557"/>
    </row>
    <row r="558" spans="3:9" ht="18" customHeight="1" x14ac:dyDescent="0.3">
      <c r="C558"/>
      <c r="I558"/>
    </row>
    <row r="559" spans="3:9" ht="18" customHeight="1" x14ac:dyDescent="0.3">
      <c r="C559"/>
      <c r="I559"/>
    </row>
    <row r="560" spans="3:9" ht="18" customHeight="1" x14ac:dyDescent="0.3">
      <c r="C560"/>
      <c r="I560"/>
    </row>
    <row r="561" spans="3:9" ht="18" customHeight="1" x14ac:dyDescent="0.3">
      <c r="C561"/>
      <c r="I561"/>
    </row>
    <row r="562" spans="3:9" ht="18" customHeight="1" x14ac:dyDescent="0.3">
      <c r="C562"/>
      <c r="I562"/>
    </row>
    <row r="563" spans="3:9" ht="18" customHeight="1" x14ac:dyDescent="0.3">
      <c r="C563"/>
      <c r="I563"/>
    </row>
    <row r="564" spans="3:9" ht="18" customHeight="1" x14ac:dyDescent="0.3">
      <c r="C564"/>
      <c r="I564"/>
    </row>
    <row r="565" spans="3:9" ht="18" customHeight="1" x14ac:dyDescent="0.3">
      <c r="C565"/>
      <c r="I565"/>
    </row>
    <row r="566" spans="3:9" ht="18" customHeight="1" x14ac:dyDescent="0.3">
      <c r="C566"/>
      <c r="I566"/>
    </row>
    <row r="567" spans="3:9" ht="18" customHeight="1" x14ac:dyDescent="0.3">
      <c r="C567"/>
      <c r="I567"/>
    </row>
    <row r="568" spans="3:9" ht="18" customHeight="1" x14ac:dyDescent="0.3">
      <c r="C568"/>
      <c r="I568"/>
    </row>
    <row r="569" spans="3:9" ht="18" customHeight="1" x14ac:dyDescent="0.3">
      <c r="C569"/>
      <c r="I569"/>
    </row>
    <row r="570" spans="3:9" ht="18" customHeight="1" x14ac:dyDescent="0.3">
      <c r="C570"/>
      <c r="I570"/>
    </row>
    <row r="571" spans="3:9" ht="18" customHeight="1" x14ac:dyDescent="0.3">
      <c r="C571"/>
      <c r="I571"/>
    </row>
    <row r="572" spans="3:9" ht="18" customHeight="1" x14ac:dyDescent="0.3">
      <c r="C572"/>
      <c r="I572"/>
    </row>
    <row r="573" spans="3:9" ht="18" customHeight="1" x14ac:dyDescent="0.3">
      <c r="C573"/>
      <c r="I573"/>
    </row>
    <row r="574" spans="3:9" ht="18" customHeight="1" x14ac:dyDescent="0.3">
      <c r="C574"/>
      <c r="I574"/>
    </row>
    <row r="575" spans="3:9" ht="18" customHeight="1" x14ac:dyDescent="0.3">
      <c r="C575"/>
      <c r="I575"/>
    </row>
    <row r="576" spans="3:9" ht="18" customHeight="1" x14ac:dyDescent="0.3">
      <c r="C576"/>
      <c r="I576"/>
    </row>
    <row r="577" spans="3:9" ht="18" customHeight="1" x14ac:dyDescent="0.3">
      <c r="C577"/>
      <c r="I577"/>
    </row>
    <row r="578" spans="3:9" ht="18" customHeight="1" x14ac:dyDescent="0.3">
      <c r="C578"/>
      <c r="I578"/>
    </row>
    <row r="579" spans="3:9" ht="18" customHeight="1" x14ac:dyDescent="0.3">
      <c r="C579"/>
      <c r="I579"/>
    </row>
    <row r="580" spans="3:9" ht="18" customHeight="1" x14ac:dyDescent="0.3">
      <c r="C580"/>
      <c r="I580"/>
    </row>
    <row r="581" spans="3:9" ht="18" customHeight="1" x14ac:dyDescent="0.3">
      <c r="C581"/>
      <c r="I581"/>
    </row>
    <row r="582" spans="3:9" ht="18" customHeight="1" x14ac:dyDescent="0.3">
      <c r="C582"/>
      <c r="I582"/>
    </row>
    <row r="583" spans="3:9" ht="18" customHeight="1" x14ac:dyDescent="0.3">
      <c r="C583"/>
      <c r="I583"/>
    </row>
    <row r="584" spans="3:9" ht="18" customHeight="1" x14ac:dyDescent="0.3">
      <c r="C584"/>
      <c r="I584"/>
    </row>
    <row r="585" spans="3:9" ht="18" customHeight="1" x14ac:dyDescent="0.3">
      <c r="C585"/>
      <c r="I585"/>
    </row>
    <row r="586" spans="3:9" ht="18" customHeight="1" x14ac:dyDescent="0.3">
      <c r="C586"/>
      <c r="I586"/>
    </row>
    <row r="587" spans="3:9" ht="18" customHeight="1" x14ac:dyDescent="0.3">
      <c r="C587"/>
      <c r="I587"/>
    </row>
    <row r="588" spans="3:9" ht="18" customHeight="1" x14ac:dyDescent="0.3">
      <c r="C588"/>
      <c r="I588"/>
    </row>
    <row r="589" spans="3:9" ht="18" customHeight="1" x14ac:dyDescent="0.3">
      <c r="C589"/>
      <c r="I589"/>
    </row>
    <row r="590" spans="3:9" ht="18" customHeight="1" x14ac:dyDescent="0.3">
      <c r="C590"/>
      <c r="I590"/>
    </row>
    <row r="591" spans="3:9" ht="18" customHeight="1" x14ac:dyDescent="0.3">
      <c r="C591"/>
      <c r="I591"/>
    </row>
    <row r="592" spans="3:9" ht="18" customHeight="1" x14ac:dyDescent="0.3">
      <c r="C592"/>
      <c r="I592"/>
    </row>
    <row r="593" spans="3:9" ht="18" customHeight="1" x14ac:dyDescent="0.3">
      <c r="C593"/>
      <c r="I593"/>
    </row>
    <row r="594" spans="3:9" ht="18" customHeight="1" x14ac:dyDescent="0.3">
      <c r="C594"/>
      <c r="I594"/>
    </row>
    <row r="595" spans="3:9" ht="18" customHeight="1" x14ac:dyDescent="0.3">
      <c r="C595"/>
      <c r="I595"/>
    </row>
    <row r="596" spans="3:9" ht="18" customHeight="1" x14ac:dyDescent="0.3">
      <c r="C596"/>
      <c r="I596"/>
    </row>
    <row r="597" spans="3:9" ht="18" customHeight="1" x14ac:dyDescent="0.3">
      <c r="C597"/>
      <c r="I597"/>
    </row>
    <row r="598" spans="3:9" ht="18" customHeight="1" x14ac:dyDescent="0.3">
      <c r="C598"/>
      <c r="I598"/>
    </row>
    <row r="599" spans="3:9" ht="18" customHeight="1" x14ac:dyDescent="0.3">
      <c r="C599"/>
      <c r="I599"/>
    </row>
    <row r="600" spans="3:9" ht="18" customHeight="1" x14ac:dyDescent="0.3">
      <c r="C600"/>
      <c r="I600"/>
    </row>
    <row r="601" spans="3:9" ht="18" customHeight="1" x14ac:dyDescent="0.3">
      <c r="C601"/>
      <c r="I601"/>
    </row>
    <row r="602" spans="3:9" ht="18" customHeight="1" x14ac:dyDescent="0.3">
      <c r="C602"/>
      <c r="I602"/>
    </row>
    <row r="603" spans="3:9" ht="18" customHeight="1" x14ac:dyDescent="0.3">
      <c r="C603"/>
      <c r="I603"/>
    </row>
    <row r="604" spans="3:9" ht="18" customHeight="1" x14ac:dyDescent="0.3">
      <c r="C604"/>
      <c r="I604"/>
    </row>
    <row r="605" spans="3:9" ht="18" customHeight="1" x14ac:dyDescent="0.3">
      <c r="C605"/>
      <c r="I605"/>
    </row>
    <row r="606" spans="3:9" ht="18" customHeight="1" x14ac:dyDescent="0.3">
      <c r="C606"/>
      <c r="I606"/>
    </row>
    <row r="607" spans="3:9" ht="18" customHeight="1" x14ac:dyDescent="0.3">
      <c r="C607"/>
      <c r="I607"/>
    </row>
    <row r="608" spans="3:9" ht="18" customHeight="1" x14ac:dyDescent="0.3">
      <c r="C608"/>
      <c r="I608"/>
    </row>
    <row r="609" spans="3:9" ht="18" customHeight="1" x14ac:dyDescent="0.3">
      <c r="C609"/>
      <c r="I609"/>
    </row>
    <row r="610" spans="3:9" ht="18" customHeight="1" x14ac:dyDescent="0.3">
      <c r="C610"/>
      <c r="I610"/>
    </row>
    <row r="611" spans="3:9" ht="18" customHeight="1" x14ac:dyDescent="0.3">
      <c r="C611"/>
      <c r="I611"/>
    </row>
    <row r="612" spans="3:9" ht="18" customHeight="1" x14ac:dyDescent="0.3">
      <c r="C612"/>
      <c r="I612"/>
    </row>
    <row r="613" spans="3:9" ht="18" customHeight="1" x14ac:dyDescent="0.3">
      <c r="C613"/>
      <c r="I613"/>
    </row>
    <row r="614" spans="3:9" ht="18" customHeight="1" x14ac:dyDescent="0.3">
      <c r="C614"/>
      <c r="I614"/>
    </row>
    <row r="615" spans="3:9" ht="18" customHeight="1" x14ac:dyDescent="0.3">
      <c r="C615"/>
      <c r="I615"/>
    </row>
    <row r="616" spans="3:9" ht="18" customHeight="1" x14ac:dyDescent="0.3">
      <c r="C616"/>
      <c r="I616"/>
    </row>
    <row r="617" spans="3:9" ht="18" customHeight="1" x14ac:dyDescent="0.3">
      <c r="C617"/>
      <c r="I617"/>
    </row>
    <row r="618" spans="3:9" ht="18" customHeight="1" x14ac:dyDescent="0.3">
      <c r="C618"/>
      <c r="I618"/>
    </row>
    <row r="619" spans="3:9" ht="18" customHeight="1" x14ac:dyDescent="0.3">
      <c r="C619"/>
      <c r="I619"/>
    </row>
    <row r="620" spans="3:9" ht="18" customHeight="1" x14ac:dyDescent="0.3">
      <c r="C620"/>
      <c r="I620"/>
    </row>
    <row r="621" spans="3:9" ht="18" customHeight="1" x14ac:dyDescent="0.3">
      <c r="C621"/>
      <c r="I621"/>
    </row>
    <row r="622" spans="3:9" ht="18" customHeight="1" x14ac:dyDescent="0.3">
      <c r="C622"/>
      <c r="I622"/>
    </row>
    <row r="623" spans="3:9" ht="18" customHeight="1" x14ac:dyDescent="0.3">
      <c r="C623"/>
      <c r="I623"/>
    </row>
    <row r="624" spans="3:9" ht="18" customHeight="1" x14ac:dyDescent="0.3">
      <c r="C624"/>
      <c r="I624"/>
    </row>
    <row r="625" spans="3:9" ht="18" customHeight="1" x14ac:dyDescent="0.3">
      <c r="C625"/>
      <c r="I625"/>
    </row>
    <row r="626" spans="3:9" ht="18" customHeight="1" x14ac:dyDescent="0.3">
      <c r="C626"/>
      <c r="I626"/>
    </row>
    <row r="627" spans="3:9" ht="18" customHeight="1" x14ac:dyDescent="0.3">
      <c r="C627"/>
      <c r="I627"/>
    </row>
    <row r="628" spans="3:9" ht="18" customHeight="1" x14ac:dyDescent="0.3">
      <c r="C628"/>
      <c r="I628"/>
    </row>
    <row r="629" spans="3:9" ht="18" customHeight="1" x14ac:dyDescent="0.3">
      <c r="C629"/>
      <c r="I629"/>
    </row>
    <row r="630" spans="3:9" ht="18" customHeight="1" x14ac:dyDescent="0.3">
      <c r="C630"/>
      <c r="I630"/>
    </row>
    <row r="631" spans="3:9" ht="18" customHeight="1" x14ac:dyDescent="0.3">
      <c r="C631"/>
      <c r="I631"/>
    </row>
    <row r="632" spans="3:9" ht="18" customHeight="1" x14ac:dyDescent="0.3">
      <c r="C632"/>
      <c r="I632"/>
    </row>
    <row r="633" spans="3:9" ht="18" customHeight="1" x14ac:dyDescent="0.3">
      <c r="C633"/>
      <c r="I633"/>
    </row>
    <row r="634" spans="3:9" ht="18" customHeight="1" x14ac:dyDescent="0.3">
      <c r="C634"/>
      <c r="I634"/>
    </row>
    <row r="635" spans="3:9" ht="18" customHeight="1" x14ac:dyDescent="0.3">
      <c r="C635"/>
      <c r="I635"/>
    </row>
    <row r="636" spans="3:9" ht="18" customHeight="1" x14ac:dyDescent="0.3">
      <c r="C636"/>
      <c r="I636"/>
    </row>
    <row r="637" spans="3:9" ht="18" customHeight="1" x14ac:dyDescent="0.3">
      <c r="C637"/>
      <c r="I637"/>
    </row>
    <row r="638" spans="3:9" ht="18" customHeight="1" x14ac:dyDescent="0.3">
      <c r="C638"/>
      <c r="I638"/>
    </row>
    <row r="639" spans="3:9" ht="18" customHeight="1" x14ac:dyDescent="0.3">
      <c r="C639"/>
      <c r="I639"/>
    </row>
    <row r="640" spans="3:9" ht="18" customHeight="1" x14ac:dyDescent="0.3">
      <c r="C640"/>
      <c r="I640"/>
    </row>
    <row r="641" spans="3:9" ht="18" customHeight="1" x14ac:dyDescent="0.3">
      <c r="C641"/>
      <c r="I641"/>
    </row>
    <row r="642" spans="3:9" ht="18" customHeight="1" x14ac:dyDescent="0.3">
      <c r="C642"/>
      <c r="I642"/>
    </row>
    <row r="643" spans="3:9" ht="18" customHeight="1" x14ac:dyDescent="0.3">
      <c r="C643"/>
      <c r="I643"/>
    </row>
    <row r="644" spans="3:9" ht="18" customHeight="1" x14ac:dyDescent="0.3">
      <c r="C644"/>
      <c r="I644"/>
    </row>
    <row r="645" spans="3:9" ht="18" customHeight="1" x14ac:dyDescent="0.3">
      <c r="C645"/>
      <c r="I645"/>
    </row>
    <row r="646" spans="3:9" ht="18" customHeight="1" x14ac:dyDescent="0.3">
      <c r="C646"/>
      <c r="I646"/>
    </row>
    <row r="647" spans="3:9" ht="18" customHeight="1" x14ac:dyDescent="0.3">
      <c r="C647"/>
      <c r="I647"/>
    </row>
    <row r="648" spans="3:9" ht="18" customHeight="1" x14ac:dyDescent="0.3">
      <c r="C648"/>
      <c r="I648"/>
    </row>
    <row r="649" spans="3:9" ht="18" customHeight="1" x14ac:dyDescent="0.3">
      <c r="C649"/>
      <c r="I649"/>
    </row>
    <row r="650" spans="3:9" ht="18" customHeight="1" x14ac:dyDescent="0.3">
      <c r="C650"/>
      <c r="I650"/>
    </row>
    <row r="651" spans="3:9" ht="18" customHeight="1" x14ac:dyDescent="0.3">
      <c r="C651"/>
      <c r="I651"/>
    </row>
    <row r="652" spans="3:9" ht="18" customHeight="1" x14ac:dyDescent="0.3">
      <c r="C652"/>
      <c r="I652"/>
    </row>
    <row r="653" spans="3:9" ht="18" customHeight="1" x14ac:dyDescent="0.3">
      <c r="C653"/>
      <c r="I653"/>
    </row>
    <row r="654" spans="3:9" ht="18" customHeight="1" x14ac:dyDescent="0.3">
      <c r="C654"/>
      <c r="I654"/>
    </row>
    <row r="655" spans="3:9" ht="18" customHeight="1" x14ac:dyDescent="0.3">
      <c r="C655"/>
      <c r="I655"/>
    </row>
    <row r="656" spans="3:9" ht="18" customHeight="1" x14ac:dyDescent="0.3">
      <c r="C656"/>
      <c r="I656"/>
    </row>
    <row r="657" spans="3:9" ht="18" customHeight="1" x14ac:dyDescent="0.3">
      <c r="C657"/>
      <c r="I657"/>
    </row>
    <row r="658" spans="3:9" ht="18" customHeight="1" x14ac:dyDescent="0.3">
      <c r="C658"/>
      <c r="I658"/>
    </row>
    <row r="659" spans="3:9" ht="18" customHeight="1" x14ac:dyDescent="0.3">
      <c r="C659"/>
      <c r="I659"/>
    </row>
    <row r="660" spans="3:9" ht="18" customHeight="1" x14ac:dyDescent="0.3">
      <c r="C660"/>
      <c r="I660"/>
    </row>
    <row r="661" spans="3:9" ht="18" customHeight="1" x14ac:dyDescent="0.3">
      <c r="C661"/>
      <c r="I661"/>
    </row>
    <row r="662" spans="3:9" ht="18" customHeight="1" x14ac:dyDescent="0.3">
      <c r="C662"/>
      <c r="I662"/>
    </row>
    <row r="663" spans="3:9" ht="18" customHeight="1" x14ac:dyDescent="0.3">
      <c r="C663"/>
      <c r="I663"/>
    </row>
    <row r="664" spans="3:9" ht="18" customHeight="1" x14ac:dyDescent="0.3">
      <c r="C664"/>
      <c r="I664"/>
    </row>
    <row r="665" spans="3:9" ht="18" customHeight="1" x14ac:dyDescent="0.3">
      <c r="C665"/>
      <c r="I665"/>
    </row>
    <row r="666" spans="3:9" ht="18" customHeight="1" x14ac:dyDescent="0.3">
      <c r="C666"/>
      <c r="I666"/>
    </row>
    <row r="667" spans="3:9" ht="18" customHeight="1" x14ac:dyDescent="0.3">
      <c r="C667"/>
      <c r="I667"/>
    </row>
    <row r="668" spans="3:9" ht="18" customHeight="1" x14ac:dyDescent="0.3">
      <c r="C668"/>
      <c r="I668"/>
    </row>
    <row r="669" spans="3:9" ht="18" customHeight="1" x14ac:dyDescent="0.3">
      <c r="C669"/>
      <c r="I669"/>
    </row>
    <row r="670" spans="3:9" ht="18" customHeight="1" x14ac:dyDescent="0.3">
      <c r="C670"/>
      <c r="I670"/>
    </row>
    <row r="671" spans="3:9" ht="18" customHeight="1" x14ac:dyDescent="0.3">
      <c r="C671"/>
      <c r="I671"/>
    </row>
    <row r="672" spans="3:9" ht="18" customHeight="1" x14ac:dyDescent="0.3">
      <c r="C672"/>
      <c r="I672"/>
    </row>
    <row r="673" spans="3:9" ht="18" customHeight="1" x14ac:dyDescent="0.3">
      <c r="C673"/>
      <c r="I673"/>
    </row>
    <row r="674" spans="3:9" ht="18" customHeight="1" x14ac:dyDescent="0.3">
      <c r="C674"/>
      <c r="I674"/>
    </row>
    <row r="675" spans="3:9" ht="18" customHeight="1" x14ac:dyDescent="0.3">
      <c r="C675"/>
      <c r="I675"/>
    </row>
    <row r="676" spans="3:9" ht="18" customHeight="1" x14ac:dyDescent="0.3">
      <c r="C676"/>
      <c r="I676"/>
    </row>
    <row r="677" spans="3:9" ht="18" customHeight="1" x14ac:dyDescent="0.3">
      <c r="C677"/>
      <c r="I677"/>
    </row>
    <row r="678" spans="3:9" ht="18" customHeight="1" x14ac:dyDescent="0.3">
      <c r="C678"/>
      <c r="I678"/>
    </row>
    <row r="679" spans="3:9" ht="18" customHeight="1" x14ac:dyDescent="0.3">
      <c r="C679"/>
      <c r="I679"/>
    </row>
    <row r="680" spans="3:9" ht="18" customHeight="1" x14ac:dyDescent="0.3">
      <c r="C680"/>
      <c r="I680"/>
    </row>
    <row r="681" spans="3:9" ht="18" customHeight="1" x14ac:dyDescent="0.3">
      <c r="C681"/>
      <c r="I681"/>
    </row>
    <row r="682" spans="3:9" ht="18" customHeight="1" x14ac:dyDescent="0.3">
      <c r="C682"/>
      <c r="I682"/>
    </row>
    <row r="683" spans="3:9" ht="18" customHeight="1" x14ac:dyDescent="0.3">
      <c r="C683"/>
      <c r="I683"/>
    </row>
    <row r="684" spans="3:9" ht="18" customHeight="1" x14ac:dyDescent="0.3">
      <c r="C684"/>
      <c r="I684"/>
    </row>
    <row r="685" spans="3:9" ht="18" customHeight="1" x14ac:dyDescent="0.3">
      <c r="C685"/>
      <c r="I685"/>
    </row>
    <row r="686" spans="3:9" ht="18" customHeight="1" x14ac:dyDescent="0.3">
      <c r="C686"/>
      <c r="I686"/>
    </row>
    <row r="687" spans="3:9" ht="18" customHeight="1" x14ac:dyDescent="0.3">
      <c r="C687"/>
      <c r="I687"/>
    </row>
    <row r="688" spans="3:9" ht="18" customHeight="1" x14ac:dyDescent="0.3">
      <c r="C688"/>
      <c r="I688"/>
    </row>
    <row r="689" spans="3:9" ht="18" customHeight="1" x14ac:dyDescent="0.3">
      <c r="C689"/>
      <c r="I689"/>
    </row>
    <row r="690" spans="3:9" ht="18" customHeight="1" x14ac:dyDescent="0.3">
      <c r="C690"/>
      <c r="I690"/>
    </row>
    <row r="691" spans="3:9" ht="18" customHeight="1" x14ac:dyDescent="0.3">
      <c r="C691"/>
      <c r="I691"/>
    </row>
    <row r="692" spans="3:9" ht="18" customHeight="1" x14ac:dyDescent="0.3">
      <c r="C692"/>
      <c r="I692"/>
    </row>
    <row r="693" spans="3:9" ht="18" customHeight="1" x14ac:dyDescent="0.3">
      <c r="C693"/>
      <c r="I693"/>
    </row>
    <row r="694" spans="3:9" ht="18" customHeight="1" x14ac:dyDescent="0.3">
      <c r="C694"/>
      <c r="I694"/>
    </row>
    <row r="695" spans="3:9" ht="18" customHeight="1" x14ac:dyDescent="0.3">
      <c r="C695"/>
      <c r="I695"/>
    </row>
    <row r="696" spans="3:9" ht="18" customHeight="1" x14ac:dyDescent="0.3">
      <c r="C696"/>
      <c r="I696"/>
    </row>
    <row r="697" spans="3:9" ht="18" customHeight="1" x14ac:dyDescent="0.3">
      <c r="C697"/>
      <c r="I697"/>
    </row>
    <row r="698" spans="3:9" ht="18" customHeight="1" x14ac:dyDescent="0.3">
      <c r="C698"/>
      <c r="I698"/>
    </row>
    <row r="699" spans="3:9" ht="18" customHeight="1" x14ac:dyDescent="0.3">
      <c r="C699"/>
      <c r="I699"/>
    </row>
    <row r="700" spans="3:9" ht="18" customHeight="1" x14ac:dyDescent="0.3">
      <c r="C700"/>
      <c r="I700"/>
    </row>
    <row r="701" spans="3:9" ht="18" customHeight="1" x14ac:dyDescent="0.3">
      <c r="C701"/>
      <c r="I701"/>
    </row>
    <row r="702" spans="3:9" ht="18" customHeight="1" x14ac:dyDescent="0.3">
      <c r="C702"/>
      <c r="I702"/>
    </row>
    <row r="703" spans="3:9" ht="18" customHeight="1" x14ac:dyDescent="0.3">
      <c r="C703"/>
      <c r="I703"/>
    </row>
    <row r="704" spans="3:9" ht="18" customHeight="1" x14ac:dyDescent="0.3">
      <c r="C704"/>
      <c r="I704"/>
    </row>
    <row r="705" spans="3:9" ht="18" customHeight="1" x14ac:dyDescent="0.3">
      <c r="C705"/>
      <c r="I705"/>
    </row>
    <row r="706" spans="3:9" ht="18" customHeight="1" x14ac:dyDescent="0.3">
      <c r="C706"/>
      <c r="I706"/>
    </row>
    <row r="707" spans="3:9" ht="18" customHeight="1" x14ac:dyDescent="0.3">
      <c r="C707"/>
      <c r="I707"/>
    </row>
    <row r="708" spans="3:9" ht="18" customHeight="1" x14ac:dyDescent="0.3">
      <c r="C708"/>
      <c r="I708"/>
    </row>
    <row r="709" spans="3:9" ht="18" customHeight="1" x14ac:dyDescent="0.3">
      <c r="C709"/>
      <c r="I709"/>
    </row>
    <row r="710" spans="3:9" ht="18" customHeight="1" x14ac:dyDescent="0.3">
      <c r="C710"/>
      <c r="I710"/>
    </row>
    <row r="711" spans="3:9" ht="18" customHeight="1" x14ac:dyDescent="0.3">
      <c r="C711"/>
      <c r="I711"/>
    </row>
    <row r="712" spans="3:9" ht="18" customHeight="1" x14ac:dyDescent="0.3">
      <c r="C712"/>
      <c r="I712"/>
    </row>
    <row r="713" spans="3:9" ht="18" customHeight="1" x14ac:dyDescent="0.3">
      <c r="C713"/>
      <c r="I713"/>
    </row>
    <row r="714" spans="3:9" ht="18" customHeight="1" x14ac:dyDescent="0.3">
      <c r="C714"/>
      <c r="I714"/>
    </row>
    <row r="715" spans="3:9" ht="18" customHeight="1" x14ac:dyDescent="0.3">
      <c r="C715"/>
      <c r="I715"/>
    </row>
    <row r="716" spans="3:9" ht="18" customHeight="1" x14ac:dyDescent="0.3">
      <c r="C716"/>
      <c r="I716"/>
    </row>
    <row r="717" spans="3:9" ht="18" customHeight="1" x14ac:dyDescent="0.3">
      <c r="C717"/>
      <c r="I717"/>
    </row>
    <row r="718" spans="3:9" ht="18" customHeight="1" x14ac:dyDescent="0.3">
      <c r="C718"/>
      <c r="I718"/>
    </row>
    <row r="719" spans="3:9" ht="18" customHeight="1" x14ac:dyDescent="0.3">
      <c r="C719"/>
      <c r="I719"/>
    </row>
    <row r="720" spans="3:9" ht="18" customHeight="1" x14ac:dyDescent="0.3">
      <c r="C720"/>
      <c r="I720"/>
    </row>
    <row r="721" spans="3:9" ht="18" customHeight="1" x14ac:dyDescent="0.3">
      <c r="C721"/>
      <c r="I721"/>
    </row>
    <row r="722" spans="3:9" ht="18" customHeight="1" x14ac:dyDescent="0.3">
      <c r="C722"/>
      <c r="I722"/>
    </row>
    <row r="723" spans="3:9" ht="18" customHeight="1" x14ac:dyDescent="0.3">
      <c r="C723"/>
      <c r="I723"/>
    </row>
    <row r="724" spans="3:9" ht="18" customHeight="1" x14ac:dyDescent="0.3">
      <c r="C724"/>
      <c r="I724"/>
    </row>
    <row r="725" spans="3:9" ht="18" customHeight="1" x14ac:dyDescent="0.3">
      <c r="C725"/>
      <c r="I725"/>
    </row>
    <row r="726" spans="3:9" ht="18" customHeight="1" x14ac:dyDescent="0.3">
      <c r="C726"/>
      <c r="I726"/>
    </row>
    <row r="727" spans="3:9" ht="18" customHeight="1" x14ac:dyDescent="0.3">
      <c r="C727"/>
      <c r="I727"/>
    </row>
    <row r="728" spans="3:9" ht="18" customHeight="1" x14ac:dyDescent="0.3">
      <c r="C728"/>
      <c r="I728"/>
    </row>
    <row r="729" spans="3:9" ht="18" customHeight="1" x14ac:dyDescent="0.3">
      <c r="C729"/>
      <c r="I729"/>
    </row>
    <row r="730" spans="3:9" ht="18" customHeight="1" x14ac:dyDescent="0.3">
      <c r="C730"/>
      <c r="I730"/>
    </row>
    <row r="731" spans="3:9" ht="18" customHeight="1" x14ac:dyDescent="0.3">
      <c r="C731"/>
      <c r="I731"/>
    </row>
    <row r="732" spans="3:9" ht="18" customHeight="1" x14ac:dyDescent="0.3">
      <c r="C732"/>
      <c r="I732"/>
    </row>
    <row r="733" spans="3:9" ht="18" customHeight="1" x14ac:dyDescent="0.3">
      <c r="C733"/>
      <c r="I733"/>
    </row>
    <row r="734" spans="3:9" ht="18" customHeight="1" x14ac:dyDescent="0.3">
      <c r="C734"/>
      <c r="I734"/>
    </row>
    <row r="735" spans="3:9" ht="18" customHeight="1" x14ac:dyDescent="0.3">
      <c r="C735"/>
      <c r="I735"/>
    </row>
    <row r="736" spans="3:9" ht="18" customHeight="1" x14ac:dyDescent="0.3">
      <c r="C736"/>
      <c r="I736"/>
    </row>
    <row r="737" spans="3:9" ht="18" customHeight="1" x14ac:dyDescent="0.3">
      <c r="C737"/>
      <c r="I737"/>
    </row>
    <row r="738" spans="3:9" ht="18" customHeight="1" x14ac:dyDescent="0.3">
      <c r="C738"/>
      <c r="I738"/>
    </row>
    <row r="739" spans="3:9" ht="18" customHeight="1" x14ac:dyDescent="0.3">
      <c r="C739"/>
      <c r="I739"/>
    </row>
    <row r="740" spans="3:9" ht="18" customHeight="1" x14ac:dyDescent="0.3">
      <c r="C740"/>
      <c r="I740"/>
    </row>
    <row r="741" spans="3:9" ht="18" customHeight="1" x14ac:dyDescent="0.3">
      <c r="C741"/>
      <c r="I741"/>
    </row>
    <row r="742" spans="3:9" ht="18" customHeight="1" x14ac:dyDescent="0.3">
      <c r="C742"/>
      <c r="I742"/>
    </row>
    <row r="743" spans="3:9" ht="18" customHeight="1" x14ac:dyDescent="0.3">
      <c r="C743"/>
      <c r="I743"/>
    </row>
    <row r="744" spans="3:9" ht="18" customHeight="1" x14ac:dyDescent="0.3">
      <c r="C744"/>
      <c r="I744"/>
    </row>
    <row r="745" spans="3:9" ht="18" customHeight="1" x14ac:dyDescent="0.3">
      <c r="C745"/>
      <c r="I745"/>
    </row>
    <row r="746" spans="3:9" ht="18" customHeight="1" x14ac:dyDescent="0.3">
      <c r="C746"/>
      <c r="I746"/>
    </row>
    <row r="747" spans="3:9" ht="18" customHeight="1" x14ac:dyDescent="0.3">
      <c r="C747"/>
      <c r="I747"/>
    </row>
    <row r="748" spans="3:9" ht="18" customHeight="1" x14ac:dyDescent="0.3">
      <c r="I748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5BC25-F152-4266-BE5E-577E17EFEBB7}">
  <sheetPr codeName="Planilha4">
    <tabColor theme="4"/>
  </sheetPr>
  <dimension ref="A1:FK84"/>
  <sheetViews>
    <sheetView showGridLines="0" showRowColHeaders="0" topLeftCell="A31" zoomScaleNormal="100" workbookViewId="0">
      <selection sqref="A1:A84"/>
    </sheetView>
  </sheetViews>
  <sheetFormatPr defaultColWidth="0" defaultRowHeight="7.2" customHeight="1" zeroHeight="1" x14ac:dyDescent="0.4"/>
  <cols>
    <col min="1" max="167" width="1.21875" style="2" customWidth="1"/>
    <col min="168" max="16384" width="8.88671875" style="2" hidden="1"/>
  </cols>
  <sheetData>
    <row r="1" spans="1:1" ht="7.2" customHeight="1" x14ac:dyDescent="0.4">
      <c r="A1" s="64"/>
    </row>
    <row r="2" spans="1:1" ht="7.2" customHeight="1" x14ac:dyDescent="0.4">
      <c r="A2" s="64"/>
    </row>
    <row r="3" spans="1:1" ht="7.2" customHeight="1" x14ac:dyDescent="0.4">
      <c r="A3" s="64"/>
    </row>
    <row r="4" spans="1:1" ht="7.2" customHeight="1" x14ac:dyDescent="0.4">
      <c r="A4" s="64"/>
    </row>
    <row r="5" spans="1:1" ht="7.2" customHeight="1" x14ac:dyDescent="0.4">
      <c r="A5" s="64"/>
    </row>
    <row r="6" spans="1:1" ht="7.2" customHeight="1" x14ac:dyDescent="0.4">
      <c r="A6" s="64"/>
    </row>
    <row r="7" spans="1:1" ht="7.2" customHeight="1" x14ac:dyDescent="0.4">
      <c r="A7" s="64"/>
    </row>
    <row r="8" spans="1:1" ht="7.2" customHeight="1" x14ac:dyDescent="0.4">
      <c r="A8" s="64"/>
    </row>
    <row r="9" spans="1:1" ht="7.2" customHeight="1" x14ac:dyDescent="0.4">
      <c r="A9" s="64"/>
    </row>
    <row r="10" spans="1:1" ht="7.2" customHeight="1" x14ac:dyDescent="0.4">
      <c r="A10" s="64"/>
    </row>
    <row r="11" spans="1:1" ht="7.2" customHeight="1" x14ac:dyDescent="0.4">
      <c r="A11" s="64"/>
    </row>
    <row r="12" spans="1:1" ht="7.2" customHeight="1" x14ac:dyDescent="0.4">
      <c r="A12" s="64"/>
    </row>
    <row r="13" spans="1:1" ht="7.2" customHeight="1" x14ac:dyDescent="0.4">
      <c r="A13" s="64"/>
    </row>
    <row r="14" spans="1:1" ht="7.2" customHeight="1" x14ac:dyDescent="0.4">
      <c r="A14" s="64"/>
    </row>
    <row r="15" spans="1:1" ht="7.2" customHeight="1" x14ac:dyDescent="0.4">
      <c r="A15" s="64"/>
    </row>
    <row r="16" spans="1:1" ht="7.2" customHeight="1" x14ac:dyDescent="0.4">
      <c r="A16" s="64"/>
    </row>
    <row r="17" spans="1:1" ht="7.2" customHeight="1" x14ac:dyDescent="0.4">
      <c r="A17" s="64"/>
    </row>
    <row r="18" spans="1:1" ht="7.2" customHeight="1" x14ac:dyDescent="0.4">
      <c r="A18" s="64"/>
    </row>
    <row r="19" spans="1:1" ht="7.2" customHeight="1" x14ac:dyDescent="0.4">
      <c r="A19" s="64"/>
    </row>
    <row r="20" spans="1:1" ht="7.2" customHeight="1" x14ac:dyDescent="0.4">
      <c r="A20" s="64"/>
    </row>
    <row r="21" spans="1:1" ht="7.2" customHeight="1" x14ac:dyDescent="0.4">
      <c r="A21" s="64"/>
    </row>
    <row r="22" spans="1:1" ht="7.2" customHeight="1" x14ac:dyDescent="0.4">
      <c r="A22" s="64"/>
    </row>
    <row r="23" spans="1:1" ht="7.2" customHeight="1" x14ac:dyDescent="0.4">
      <c r="A23" s="64"/>
    </row>
    <row r="24" spans="1:1" ht="7.2" customHeight="1" x14ac:dyDescent="0.4">
      <c r="A24" s="64"/>
    </row>
    <row r="25" spans="1:1" ht="7.2" customHeight="1" x14ac:dyDescent="0.4">
      <c r="A25" s="64"/>
    </row>
    <row r="26" spans="1:1" ht="7.2" customHeight="1" x14ac:dyDescent="0.4">
      <c r="A26" s="64"/>
    </row>
    <row r="27" spans="1:1" ht="7.2" customHeight="1" x14ac:dyDescent="0.4">
      <c r="A27" s="64"/>
    </row>
    <row r="28" spans="1:1" ht="7.2" customHeight="1" x14ac:dyDescent="0.4">
      <c r="A28" s="64"/>
    </row>
    <row r="29" spans="1:1" ht="7.2" customHeight="1" x14ac:dyDescent="0.4">
      <c r="A29" s="64"/>
    </row>
    <row r="30" spans="1:1" ht="7.2" customHeight="1" x14ac:dyDescent="0.4">
      <c r="A30" s="64"/>
    </row>
    <row r="31" spans="1:1" ht="7.2" customHeight="1" x14ac:dyDescent="0.4">
      <c r="A31" s="64"/>
    </row>
    <row r="32" spans="1:1" ht="7.2" customHeight="1" x14ac:dyDescent="0.4">
      <c r="A32" s="64"/>
    </row>
    <row r="33" spans="1:1" ht="7.2" customHeight="1" x14ac:dyDescent="0.4">
      <c r="A33" s="64"/>
    </row>
    <row r="34" spans="1:1" ht="7.2" customHeight="1" x14ac:dyDescent="0.4">
      <c r="A34" s="64"/>
    </row>
    <row r="35" spans="1:1" ht="7.2" customHeight="1" x14ac:dyDescent="0.4">
      <c r="A35" s="64"/>
    </row>
    <row r="36" spans="1:1" ht="7.2" customHeight="1" x14ac:dyDescent="0.4">
      <c r="A36" s="64"/>
    </row>
    <row r="37" spans="1:1" ht="7.2" customHeight="1" x14ac:dyDescent="0.4">
      <c r="A37" s="64"/>
    </row>
    <row r="38" spans="1:1" ht="7.2" customHeight="1" x14ac:dyDescent="0.4">
      <c r="A38" s="64"/>
    </row>
    <row r="39" spans="1:1" ht="7.2" customHeight="1" x14ac:dyDescent="0.4">
      <c r="A39" s="64"/>
    </row>
    <row r="40" spans="1:1" ht="7.2" customHeight="1" x14ac:dyDescent="0.4">
      <c r="A40" s="64"/>
    </row>
    <row r="41" spans="1:1" ht="7.2" customHeight="1" x14ac:dyDescent="0.4">
      <c r="A41" s="64"/>
    </row>
    <row r="42" spans="1:1" ht="7.2" customHeight="1" x14ac:dyDescent="0.4">
      <c r="A42" s="64"/>
    </row>
    <row r="43" spans="1:1" ht="7.2" customHeight="1" x14ac:dyDescent="0.4">
      <c r="A43" s="64"/>
    </row>
    <row r="44" spans="1:1" ht="7.2" customHeight="1" x14ac:dyDescent="0.4">
      <c r="A44" s="64"/>
    </row>
    <row r="45" spans="1:1" ht="7.2" customHeight="1" x14ac:dyDescent="0.4">
      <c r="A45" s="64"/>
    </row>
    <row r="46" spans="1:1" ht="7.2" customHeight="1" x14ac:dyDescent="0.4">
      <c r="A46" s="64"/>
    </row>
    <row r="47" spans="1:1" ht="7.2" customHeight="1" x14ac:dyDescent="0.4">
      <c r="A47" s="64"/>
    </row>
    <row r="48" spans="1:1" ht="7.2" customHeight="1" x14ac:dyDescent="0.4">
      <c r="A48" s="64"/>
    </row>
    <row r="49" spans="1:1" ht="7.2" customHeight="1" x14ac:dyDescent="0.4">
      <c r="A49" s="64"/>
    </row>
    <row r="50" spans="1:1" ht="7.2" customHeight="1" x14ac:dyDescent="0.4">
      <c r="A50" s="64"/>
    </row>
    <row r="51" spans="1:1" ht="7.2" customHeight="1" x14ac:dyDescent="0.4">
      <c r="A51" s="64"/>
    </row>
    <row r="52" spans="1:1" ht="7.2" customHeight="1" x14ac:dyDescent="0.4">
      <c r="A52" s="64"/>
    </row>
    <row r="53" spans="1:1" ht="7.2" customHeight="1" x14ac:dyDescent="0.4">
      <c r="A53" s="64"/>
    </row>
    <row r="54" spans="1:1" ht="7.2" customHeight="1" x14ac:dyDescent="0.4">
      <c r="A54" s="64"/>
    </row>
    <row r="55" spans="1:1" ht="7.2" customHeight="1" x14ac:dyDescent="0.4">
      <c r="A55" s="64"/>
    </row>
    <row r="56" spans="1:1" ht="7.2" customHeight="1" x14ac:dyDescent="0.4">
      <c r="A56" s="64"/>
    </row>
    <row r="57" spans="1:1" ht="7.2" customHeight="1" x14ac:dyDescent="0.4">
      <c r="A57" s="64"/>
    </row>
    <row r="58" spans="1:1" ht="7.2" customHeight="1" x14ac:dyDescent="0.4">
      <c r="A58" s="64"/>
    </row>
    <row r="59" spans="1:1" ht="7.2" customHeight="1" x14ac:dyDescent="0.4">
      <c r="A59" s="64"/>
    </row>
    <row r="60" spans="1:1" ht="7.2" customHeight="1" x14ac:dyDescent="0.4">
      <c r="A60" s="64"/>
    </row>
    <row r="61" spans="1:1" ht="7.2" customHeight="1" x14ac:dyDescent="0.4">
      <c r="A61" s="64"/>
    </row>
    <row r="62" spans="1:1" ht="7.2" customHeight="1" x14ac:dyDescent="0.4">
      <c r="A62" s="64"/>
    </row>
    <row r="63" spans="1:1" ht="7.2" customHeight="1" x14ac:dyDescent="0.4">
      <c r="A63" s="64"/>
    </row>
    <row r="64" spans="1:1" ht="7.2" customHeight="1" x14ac:dyDescent="0.4">
      <c r="A64" s="64"/>
    </row>
    <row r="65" spans="1:1" ht="7.2" customHeight="1" x14ac:dyDescent="0.4">
      <c r="A65" s="64"/>
    </row>
    <row r="66" spans="1:1" ht="7.2" customHeight="1" x14ac:dyDescent="0.4">
      <c r="A66" s="64"/>
    </row>
    <row r="67" spans="1:1" ht="7.2" customHeight="1" x14ac:dyDescent="0.4">
      <c r="A67" s="64"/>
    </row>
    <row r="68" spans="1:1" ht="7.2" customHeight="1" x14ac:dyDescent="0.4">
      <c r="A68" s="64"/>
    </row>
    <row r="69" spans="1:1" ht="7.2" customHeight="1" x14ac:dyDescent="0.4">
      <c r="A69" s="64"/>
    </row>
    <row r="70" spans="1:1" ht="7.2" customHeight="1" x14ac:dyDescent="0.4">
      <c r="A70" s="64"/>
    </row>
    <row r="71" spans="1:1" ht="7.2" customHeight="1" x14ac:dyDescent="0.4">
      <c r="A71" s="64"/>
    </row>
    <row r="72" spans="1:1" ht="7.2" customHeight="1" x14ac:dyDescent="0.4">
      <c r="A72" s="64"/>
    </row>
    <row r="73" spans="1:1" ht="7.2" customHeight="1" x14ac:dyDescent="0.4">
      <c r="A73" s="64"/>
    </row>
    <row r="74" spans="1:1" ht="7.2" customHeight="1" x14ac:dyDescent="0.4">
      <c r="A74" s="64"/>
    </row>
    <row r="75" spans="1:1" ht="7.2" customHeight="1" x14ac:dyDescent="0.4">
      <c r="A75" s="64"/>
    </row>
    <row r="76" spans="1:1" ht="7.2" customHeight="1" x14ac:dyDescent="0.4">
      <c r="A76" s="64"/>
    </row>
    <row r="77" spans="1:1" ht="7.2" customHeight="1" x14ac:dyDescent="0.4">
      <c r="A77" s="64"/>
    </row>
    <row r="78" spans="1:1" ht="7.2" customHeight="1" x14ac:dyDescent="0.4">
      <c r="A78" s="64"/>
    </row>
    <row r="79" spans="1:1" ht="7.2" customHeight="1" x14ac:dyDescent="0.4">
      <c r="A79" s="64"/>
    </row>
    <row r="80" spans="1:1" ht="7.2" customHeight="1" x14ac:dyDescent="0.4">
      <c r="A80" s="64"/>
    </row>
    <row r="81" spans="1:1" ht="7.2" customHeight="1" x14ac:dyDescent="0.4">
      <c r="A81" s="64"/>
    </row>
    <row r="82" spans="1:1" ht="7.2" customHeight="1" x14ac:dyDescent="0.4">
      <c r="A82" s="64"/>
    </row>
    <row r="83" spans="1:1" ht="7.2" customHeight="1" x14ac:dyDescent="0.4">
      <c r="A83" s="64"/>
    </row>
    <row r="84" spans="1:1" ht="7.2" customHeight="1" x14ac:dyDescent="0.4">
      <c r="A84" s="64"/>
    </row>
  </sheetData>
  <mergeCells count="1">
    <mergeCell ref="A1:A84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D048E-5168-44FC-9530-3435CF22DF6A}">
  <sheetPr codeName="Planilha7"/>
  <dimension ref="A1:X748"/>
  <sheetViews>
    <sheetView workbookViewId="0">
      <pane ySplit="4" topLeftCell="A5" activePane="bottomLeft" state="frozen"/>
      <selection pane="bottomLeft" activeCell="C8" sqref="C8"/>
    </sheetView>
  </sheetViews>
  <sheetFormatPr defaultRowHeight="18" customHeight="1" x14ac:dyDescent="0.3"/>
  <cols>
    <col min="1" max="1" width="8.88671875" style="1"/>
    <col min="2" max="2" width="1" style="1" customWidth="1"/>
    <col min="3" max="3" width="10.109375" style="1" customWidth="1"/>
    <col min="4" max="4" width="11.109375" style="1" customWidth="1"/>
    <col min="5" max="5" width="19.5546875" style="1" bestFit="1" customWidth="1"/>
    <col min="6" max="16384" width="8.88671875" style="1"/>
  </cols>
  <sheetData>
    <row r="1" spans="1:24" s="7" customFormat="1" ht="35.4" customHeight="1" x14ac:dyDescent="0.3">
      <c r="A1" s="55"/>
      <c r="B1" s="55"/>
      <c r="C1" s="63" t="s">
        <v>144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</row>
    <row r="2" spans="1:24" s="8" customFormat="1" ht="4.2" customHeight="1" x14ac:dyDescent="0.3"/>
    <row r="4" spans="1:24" ht="18" customHeight="1" x14ac:dyDescent="0.4">
      <c r="C4" s="17" t="s">
        <v>3</v>
      </c>
      <c r="D4" s="27" t="s">
        <v>66</v>
      </c>
      <c r="E4" s="45" t="s">
        <v>130</v>
      </c>
    </row>
    <row r="5" spans="1:24" ht="18" customHeight="1" x14ac:dyDescent="0.4">
      <c r="C5" s="17">
        <v>11</v>
      </c>
      <c r="D5" s="17" t="s">
        <v>19</v>
      </c>
      <c r="E5" s="27" t="s">
        <v>67</v>
      </c>
    </row>
    <row r="6" spans="1:24" ht="18" customHeight="1" x14ac:dyDescent="0.4">
      <c r="C6" s="17">
        <v>12</v>
      </c>
      <c r="D6" s="17" t="s">
        <v>19</v>
      </c>
      <c r="E6" s="27" t="s">
        <v>67</v>
      </c>
    </row>
    <row r="7" spans="1:24" ht="18" customHeight="1" x14ac:dyDescent="0.4">
      <c r="C7" s="17">
        <v>13</v>
      </c>
      <c r="D7" s="17" t="s">
        <v>19</v>
      </c>
      <c r="E7" s="27" t="s">
        <v>67</v>
      </c>
    </row>
    <row r="8" spans="1:24" ht="18" customHeight="1" x14ac:dyDescent="0.4">
      <c r="C8" s="17">
        <v>14</v>
      </c>
      <c r="D8" s="17" t="s">
        <v>19</v>
      </c>
      <c r="E8" s="27" t="s">
        <v>67</v>
      </c>
    </row>
    <row r="9" spans="1:24" ht="18" customHeight="1" x14ac:dyDescent="0.4">
      <c r="C9" s="17">
        <v>15</v>
      </c>
      <c r="D9" s="17" t="s">
        <v>19</v>
      </c>
      <c r="E9" s="27" t="s">
        <v>67</v>
      </c>
    </row>
    <row r="10" spans="1:24" ht="18" customHeight="1" x14ac:dyDescent="0.4">
      <c r="C10" s="17">
        <v>16</v>
      </c>
      <c r="D10" s="17" t="s">
        <v>19</v>
      </c>
      <c r="E10" s="27" t="s">
        <v>67</v>
      </c>
    </row>
    <row r="11" spans="1:24" ht="18" customHeight="1" x14ac:dyDescent="0.4">
      <c r="C11" s="17">
        <v>17</v>
      </c>
      <c r="D11" s="17" t="s">
        <v>19</v>
      </c>
      <c r="E11" s="27" t="s">
        <v>67</v>
      </c>
    </row>
    <row r="12" spans="1:24" ht="18" customHeight="1" x14ac:dyDescent="0.4">
      <c r="C12" s="17">
        <v>18</v>
      </c>
      <c r="D12" s="17" t="s">
        <v>19</v>
      </c>
      <c r="E12" s="27" t="s">
        <v>67</v>
      </c>
    </row>
    <row r="13" spans="1:24" ht="18" customHeight="1" x14ac:dyDescent="0.4">
      <c r="C13" s="17">
        <v>19</v>
      </c>
      <c r="D13" s="17" t="s">
        <v>19</v>
      </c>
      <c r="E13" s="27" t="s">
        <v>67</v>
      </c>
    </row>
    <row r="14" spans="1:24" ht="18" customHeight="1" x14ac:dyDescent="0.4">
      <c r="C14" s="17">
        <v>21</v>
      </c>
      <c r="D14" s="17" t="s">
        <v>20</v>
      </c>
      <c r="E14" s="27" t="s">
        <v>68</v>
      </c>
      <c r="I14"/>
    </row>
    <row r="15" spans="1:24" ht="18" customHeight="1" x14ac:dyDescent="0.4">
      <c r="C15" s="17">
        <v>22</v>
      </c>
      <c r="D15" s="17" t="s">
        <v>20</v>
      </c>
      <c r="E15" s="27" t="s">
        <v>68</v>
      </c>
      <c r="I15"/>
    </row>
    <row r="16" spans="1:24" ht="18" customHeight="1" x14ac:dyDescent="0.4">
      <c r="C16" s="17">
        <v>24</v>
      </c>
      <c r="D16" s="17" t="s">
        <v>20</v>
      </c>
      <c r="E16" s="27" t="s">
        <v>68</v>
      </c>
      <c r="I16"/>
    </row>
    <row r="17" spans="3:9" ht="18" customHeight="1" x14ac:dyDescent="0.4">
      <c r="C17" s="17">
        <v>27</v>
      </c>
      <c r="D17" s="17" t="s">
        <v>21</v>
      </c>
      <c r="E17" s="27" t="s">
        <v>69</v>
      </c>
      <c r="I17"/>
    </row>
    <row r="18" spans="3:9" ht="18" customHeight="1" x14ac:dyDescent="0.4">
      <c r="C18" s="17">
        <v>28</v>
      </c>
      <c r="D18" s="17" t="s">
        <v>21</v>
      </c>
      <c r="E18" s="27" t="s">
        <v>69</v>
      </c>
      <c r="I18"/>
    </row>
    <row r="19" spans="3:9" ht="18" customHeight="1" x14ac:dyDescent="0.4">
      <c r="C19" s="17">
        <v>31</v>
      </c>
      <c r="D19" s="17" t="s">
        <v>22</v>
      </c>
      <c r="E19" s="27" t="s">
        <v>70</v>
      </c>
      <c r="I19"/>
    </row>
    <row r="20" spans="3:9" ht="18" customHeight="1" x14ac:dyDescent="0.4">
      <c r="C20" s="17">
        <v>32</v>
      </c>
      <c r="D20" s="17" t="s">
        <v>22</v>
      </c>
      <c r="E20" s="27" t="s">
        <v>70</v>
      </c>
      <c r="I20"/>
    </row>
    <row r="21" spans="3:9" ht="18" customHeight="1" x14ac:dyDescent="0.4">
      <c r="C21" s="17">
        <v>33</v>
      </c>
      <c r="D21" s="17" t="s">
        <v>22</v>
      </c>
      <c r="E21" s="27" t="s">
        <v>70</v>
      </c>
      <c r="I21"/>
    </row>
    <row r="22" spans="3:9" ht="18" customHeight="1" x14ac:dyDescent="0.4">
      <c r="C22" s="17">
        <v>34</v>
      </c>
      <c r="D22" s="17" t="s">
        <v>22</v>
      </c>
      <c r="E22" s="27" t="s">
        <v>70</v>
      </c>
      <c r="I22"/>
    </row>
    <row r="23" spans="3:9" ht="18" customHeight="1" x14ac:dyDescent="0.4">
      <c r="C23" s="17">
        <v>35</v>
      </c>
      <c r="D23" s="17" t="s">
        <v>22</v>
      </c>
      <c r="E23" s="27" t="s">
        <v>70</v>
      </c>
      <c r="I23"/>
    </row>
    <row r="24" spans="3:9" ht="18" customHeight="1" x14ac:dyDescent="0.4">
      <c r="C24" s="17">
        <v>37</v>
      </c>
      <c r="D24" s="17" t="s">
        <v>22</v>
      </c>
      <c r="E24" s="27" t="s">
        <v>70</v>
      </c>
      <c r="I24"/>
    </row>
    <row r="25" spans="3:9" ht="18" customHeight="1" x14ac:dyDescent="0.4">
      <c r="C25" s="17">
        <v>38</v>
      </c>
      <c r="D25" s="17" t="s">
        <v>22</v>
      </c>
      <c r="E25" s="27" t="s">
        <v>70</v>
      </c>
      <c r="I25"/>
    </row>
    <row r="26" spans="3:9" ht="18" customHeight="1" x14ac:dyDescent="0.4">
      <c r="C26" s="17">
        <v>41</v>
      </c>
      <c r="D26" s="17" t="s">
        <v>23</v>
      </c>
      <c r="E26" s="27" t="s">
        <v>71</v>
      </c>
      <c r="I26"/>
    </row>
    <row r="27" spans="3:9" ht="18" customHeight="1" x14ac:dyDescent="0.4">
      <c r="C27" s="17">
        <v>42</v>
      </c>
      <c r="D27" s="17" t="s">
        <v>23</v>
      </c>
      <c r="E27" s="27" t="s">
        <v>71</v>
      </c>
      <c r="I27"/>
    </row>
    <row r="28" spans="3:9" ht="18" customHeight="1" x14ac:dyDescent="0.4">
      <c r="C28" s="17">
        <v>43</v>
      </c>
      <c r="D28" s="17" t="s">
        <v>23</v>
      </c>
      <c r="E28" s="27" t="s">
        <v>71</v>
      </c>
      <c r="I28"/>
    </row>
    <row r="29" spans="3:9" ht="18" customHeight="1" x14ac:dyDescent="0.4">
      <c r="C29" s="17">
        <v>44</v>
      </c>
      <c r="D29" s="17" t="s">
        <v>23</v>
      </c>
      <c r="E29" s="27" t="s">
        <v>71</v>
      </c>
      <c r="I29"/>
    </row>
    <row r="30" spans="3:9" ht="18" customHeight="1" x14ac:dyDescent="0.4">
      <c r="C30" s="17">
        <v>45</v>
      </c>
      <c r="D30" s="17" t="s">
        <v>23</v>
      </c>
      <c r="E30" s="27" t="s">
        <v>71</v>
      </c>
      <c r="I30"/>
    </row>
    <row r="31" spans="3:9" ht="18" customHeight="1" x14ac:dyDescent="0.4">
      <c r="C31" s="17">
        <v>46</v>
      </c>
      <c r="D31" s="17" t="s">
        <v>23</v>
      </c>
      <c r="E31" s="27" t="s">
        <v>71</v>
      </c>
      <c r="I31"/>
    </row>
    <row r="32" spans="3:9" ht="18" customHeight="1" x14ac:dyDescent="0.4">
      <c r="C32" s="17">
        <v>47</v>
      </c>
      <c r="D32" s="17" t="s">
        <v>24</v>
      </c>
      <c r="E32" s="27" t="s">
        <v>72</v>
      </c>
      <c r="I32"/>
    </row>
    <row r="33" spans="3:10" ht="18" customHeight="1" x14ac:dyDescent="0.4">
      <c r="C33" s="17">
        <v>48</v>
      </c>
      <c r="D33" s="17" t="s">
        <v>24</v>
      </c>
      <c r="E33" s="27" t="s">
        <v>72</v>
      </c>
      <c r="I33"/>
    </row>
    <row r="34" spans="3:10" ht="18" customHeight="1" x14ac:dyDescent="0.4">
      <c r="C34" s="17">
        <v>49</v>
      </c>
      <c r="D34" s="17" t="s">
        <v>24</v>
      </c>
      <c r="E34" s="27" t="s">
        <v>72</v>
      </c>
      <c r="I34"/>
      <c r="J34"/>
    </row>
    <row r="35" spans="3:10" ht="18" customHeight="1" x14ac:dyDescent="0.4">
      <c r="C35" s="17">
        <v>51</v>
      </c>
      <c r="D35" s="17" t="s">
        <v>25</v>
      </c>
      <c r="E35" s="27" t="s">
        <v>73</v>
      </c>
      <c r="I35"/>
      <c r="J35"/>
    </row>
    <row r="36" spans="3:10" ht="18" customHeight="1" x14ac:dyDescent="0.4">
      <c r="C36" s="17">
        <v>53</v>
      </c>
      <c r="D36" s="17" t="s">
        <v>25</v>
      </c>
      <c r="E36" s="27" t="s">
        <v>73</v>
      </c>
      <c r="I36"/>
      <c r="J36"/>
    </row>
    <row r="37" spans="3:10" ht="18" customHeight="1" x14ac:dyDescent="0.4">
      <c r="C37" s="17">
        <v>54</v>
      </c>
      <c r="D37" s="17" t="s">
        <v>25</v>
      </c>
      <c r="E37" s="27" t="s">
        <v>73</v>
      </c>
      <c r="I37"/>
      <c r="J37"/>
    </row>
    <row r="38" spans="3:10" ht="18" customHeight="1" x14ac:dyDescent="0.4">
      <c r="C38" s="17">
        <v>55</v>
      </c>
      <c r="D38" s="17" t="s">
        <v>25</v>
      </c>
      <c r="E38" s="27" t="s">
        <v>73</v>
      </c>
      <c r="I38"/>
      <c r="J38"/>
    </row>
    <row r="39" spans="3:10" ht="18" customHeight="1" x14ac:dyDescent="0.4">
      <c r="C39" s="17">
        <v>61</v>
      </c>
      <c r="D39" s="17" t="s">
        <v>26</v>
      </c>
      <c r="E39" s="27" t="s">
        <v>74</v>
      </c>
      <c r="I39"/>
      <c r="J39"/>
    </row>
    <row r="40" spans="3:10" ht="18" customHeight="1" x14ac:dyDescent="0.4">
      <c r="C40" s="17">
        <v>62</v>
      </c>
      <c r="D40" s="17" t="s">
        <v>27</v>
      </c>
      <c r="E40" s="27" t="s">
        <v>75</v>
      </c>
      <c r="I40"/>
      <c r="J40"/>
    </row>
    <row r="41" spans="3:10" ht="18" customHeight="1" x14ac:dyDescent="0.4">
      <c r="C41" s="17">
        <v>63</v>
      </c>
      <c r="D41" s="17" t="s">
        <v>28</v>
      </c>
      <c r="E41" s="27" t="s">
        <v>76</v>
      </c>
      <c r="I41"/>
      <c r="J41"/>
    </row>
    <row r="42" spans="3:10" ht="18" customHeight="1" x14ac:dyDescent="0.4">
      <c r="C42" s="17">
        <v>64</v>
      </c>
      <c r="D42" s="17" t="s">
        <v>27</v>
      </c>
      <c r="E42" s="27" t="s">
        <v>75</v>
      </c>
      <c r="I42"/>
      <c r="J42"/>
    </row>
    <row r="43" spans="3:10" ht="18" customHeight="1" x14ac:dyDescent="0.4">
      <c r="C43" s="17">
        <v>65</v>
      </c>
      <c r="D43" s="17" t="s">
        <v>29</v>
      </c>
      <c r="E43" s="27" t="s">
        <v>77</v>
      </c>
      <c r="I43"/>
      <c r="J43"/>
    </row>
    <row r="44" spans="3:10" ht="18" customHeight="1" x14ac:dyDescent="0.4">
      <c r="C44" s="17">
        <v>66</v>
      </c>
      <c r="D44" s="17" t="s">
        <v>29</v>
      </c>
      <c r="E44" s="27" t="s">
        <v>77</v>
      </c>
      <c r="I44"/>
      <c r="J44"/>
    </row>
    <row r="45" spans="3:10" ht="18" customHeight="1" x14ac:dyDescent="0.4">
      <c r="C45" s="17">
        <v>67</v>
      </c>
      <c r="D45" s="17" t="s">
        <v>30</v>
      </c>
      <c r="E45" s="27" t="s">
        <v>78</v>
      </c>
      <c r="I45"/>
      <c r="J45"/>
    </row>
    <row r="46" spans="3:10" ht="18" customHeight="1" x14ac:dyDescent="0.4">
      <c r="C46" s="17">
        <v>68</v>
      </c>
      <c r="D46" s="17" t="s">
        <v>31</v>
      </c>
      <c r="E46" s="27" t="s">
        <v>79</v>
      </c>
      <c r="I46"/>
      <c r="J46"/>
    </row>
    <row r="47" spans="3:10" ht="18" customHeight="1" x14ac:dyDescent="0.4">
      <c r="C47" s="17">
        <v>69</v>
      </c>
      <c r="D47" s="17" t="s">
        <v>32</v>
      </c>
      <c r="E47" s="27" t="s">
        <v>80</v>
      </c>
      <c r="I47"/>
      <c r="J47"/>
    </row>
    <row r="48" spans="3:10" ht="18" customHeight="1" x14ac:dyDescent="0.4">
      <c r="C48" s="17">
        <v>71</v>
      </c>
      <c r="D48" s="17" t="s">
        <v>33</v>
      </c>
      <c r="E48" s="27" t="s">
        <v>81</v>
      </c>
      <c r="I48"/>
      <c r="J48"/>
    </row>
    <row r="49" spans="3:10" ht="18" customHeight="1" x14ac:dyDescent="0.4">
      <c r="C49" s="17">
        <v>73</v>
      </c>
      <c r="D49" s="17" t="s">
        <v>33</v>
      </c>
      <c r="E49" s="27" t="s">
        <v>81</v>
      </c>
      <c r="I49"/>
      <c r="J49"/>
    </row>
    <row r="50" spans="3:10" ht="18" customHeight="1" x14ac:dyDescent="0.4">
      <c r="C50" s="17">
        <v>74</v>
      </c>
      <c r="D50" s="17" t="s">
        <v>33</v>
      </c>
      <c r="E50" s="27" t="s">
        <v>81</v>
      </c>
      <c r="I50"/>
      <c r="J50"/>
    </row>
    <row r="51" spans="3:10" ht="18" customHeight="1" x14ac:dyDescent="0.4">
      <c r="C51" s="17">
        <v>75</v>
      </c>
      <c r="D51" s="17" t="s">
        <v>33</v>
      </c>
      <c r="E51" s="27" t="s">
        <v>81</v>
      </c>
      <c r="I51"/>
      <c r="J51"/>
    </row>
    <row r="52" spans="3:10" ht="18" customHeight="1" x14ac:dyDescent="0.4">
      <c r="C52" s="17">
        <v>77</v>
      </c>
      <c r="D52" s="17" t="s">
        <v>33</v>
      </c>
      <c r="E52" s="27" t="s">
        <v>81</v>
      </c>
      <c r="I52"/>
      <c r="J52"/>
    </row>
    <row r="53" spans="3:10" ht="18" customHeight="1" x14ac:dyDescent="0.4">
      <c r="C53" s="17">
        <v>79</v>
      </c>
      <c r="D53" s="17" t="s">
        <v>34</v>
      </c>
      <c r="E53" s="27" t="s">
        <v>82</v>
      </c>
      <c r="I53"/>
      <c r="J53"/>
    </row>
    <row r="54" spans="3:10" ht="18" customHeight="1" x14ac:dyDescent="0.4">
      <c r="C54" s="17">
        <v>81</v>
      </c>
      <c r="D54" s="17" t="s">
        <v>35</v>
      </c>
      <c r="E54" s="27" t="s">
        <v>83</v>
      </c>
      <c r="I54"/>
      <c r="J54"/>
    </row>
    <row r="55" spans="3:10" ht="18" customHeight="1" x14ac:dyDescent="0.4">
      <c r="C55" s="17">
        <v>82</v>
      </c>
      <c r="D55" s="17" t="s">
        <v>36</v>
      </c>
      <c r="E55" s="27" t="s">
        <v>84</v>
      </c>
      <c r="I55"/>
      <c r="J55"/>
    </row>
    <row r="56" spans="3:10" ht="18" customHeight="1" x14ac:dyDescent="0.4">
      <c r="C56" s="17">
        <v>83</v>
      </c>
      <c r="D56" s="17" t="s">
        <v>37</v>
      </c>
      <c r="E56" s="27" t="s">
        <v>85</v>
      </c>
      <c r="I56"/>
      <c r="J56"/>
    </row>
    <row r="57" spans="3:10" ht="18" customHeight="1" x14ac:dyDescent="0.4">
      <c r="C57" s="17">
        <v>84</v>
      </c>
      <c r="D57" s="17" t="s">
        <v>38</v>
      </c>
      <c r="E57" s="27" t="s">
        <v>86</v>
      </c>
      <c r="I57"/>
      <c r="J57"/>
    </row>
    <row r="58" spans="3:10" ht="18" customHeight="1" x14ac:dyDescent="0.4">
      <c r="C58" s="17">
        <v>85</v>
      </c>
      <c r="D58" s="17" t="s">
        <v>39</v>
      </c>
      <c r="E58" s="27" t="s">
        <v>87</v>
      </c>
      <c r="I58"/>
      <c r="J58"/>
    </row>
    <row r="59" spans="3:10" ht="18" customHeight="1" x14ac:dyDescent="0.4">
      <c r="C59" s="17">
        <v>86</v>
      </c>
      <c r="D59" s="17" t="s">
        <v>40</v>
      </c>
      <c r="E59" s="27" t="s">
        <v>88</v>
      </c>
      <c r="I59"/>
      <c r="J59"/>
    </row>
    <row r="60" spans="3:10" ht="18" customHeight="1" x14ac:dyDescent="0.4">
      <c r="C60" s="17">
        <v>87</v>
      </c>
      <c r="D60" s="17" t="s">
        <v>35</v>
      </c>
      <c r="E60" s="27" t="s">
        <v>83</v>
      </c>
      <c r="I60"/>
      <c r="J60"/>
    </row>
    <row r="61" spans="3:10" ht="18" customHeight="1" x14ac:dyDescent="0.4">
      <c r="C61" s="17">
        <v>88</v>
      </c>
      <c r="D61" s="17" t="s">
        <v>39</v>
      </c>
      <c r="E61" s="27" t="s">
        <v>87</v>
      </c>
      <c r="I61"/>
      <c r="J61"/>
    </row>
    <row r="62" spans="3:10" ht="18" customHeight="1" x14ac:dyDescent="0.4">
      <c r="C62" s="17">
        <v>89</v>
      </c>
      <c r="D62" s="17" t="s">
        <v>40</v>
      </c>
      <c r="E62" s="27" t="s">
        <v>88</v>
      </c>
      <c r="I62"/>
      <c r="J62"/>
    </row>
    <row r="63" spans="3:10" ht="18" customHeight="1" x14ac:dyDescent="0.4">
      <c r="C63" s="17">
        <v>91</v>
      </c>
      <c r="D63" s="17" t="s">
        <v>41</v>
      </c>
      <c r="E63" s="27" t="s">
        <v>89</v>
      </c>
      <c r="I63"/>
      <c r="J63"/>
    </row>
    <row r="64" spans="3:10" ht="18" customHeight="1" x14ac:dyDescent="0.4">
      <c r="C64" s="17">
        <v>92</v>
      </c>
      <c r="D64" s="17" t="s">
        <v>42</v>
      </c>
      <c r="E64" s="27" t="s">
        <v>90</v>
      </c>
      <c r="I64"/>
      <c r="J64"/>
    </row>
    <row r="65" spans="3:10" ht="18" customHeight="1" x14ac:dyDescent="0.4">
      <c r="C65" s="17">
        <v>93</v>
      </c>
      <c r="D65" s="17" t="s">
        <v>41</v>
      </c>
      <c r="E65" s="27" t="s">
        <v>89</v>
      </c>
      <c r="I65"/>
      <c r="J65"/>
    </row>
    <row r="66" spans="3:10" ht="18" customHeight="1" x14ac:dyDescent="0.4">
      <c r="C66" s="17">
        <v>94</v>
      </c>
      <c r="D66" s="17" t="s">
        <v>41</v>
      </c>
      <c r="E66" s="27" t="s">
        <v>89</v>
      </c>
      <c r="I66"/>
      <c r="J66"/>
    </row>
    <row r="67" spans="3:10" ht="18" customHeight="1" x14ac:dyDescent="0.4">
      <c r="C67" s="17">
        <v>95</v>
      </c>
      <c r="D67" s="17" t="s">
        <v>43</v>
      </c>
      <c r="E67" s="27" t="s">
        <v>91</v>
      </c>
      <c r="I67"/>
      <c r="J67"/>
    </row>
    <row r="68" spans="3:10" ht="18" customHeight="1" x14ac:dyDescent="0.4">
      <c r="C68" s="17">
        <v>96</v>
      </c>
      <c r="D68" s="17" t="s">
        <v>44</v>
      </c>
      <c r="E68" s="27" t="s">
        <v>92</v>
      </c>
      <c r="I68"/>
      <c r="J68"/>
    </row>
    <row r="69" spans="3:10" ht="18" customHeight="1" x14ac:dyDescent="0.4">
      <c r="C69" s="17">
        <v>97</v>
      </c>
      <c r="D69" s="17" t="s">
        <v>42</v>
      </c>
      <c r="E69" s="27" t="s">
        <v>90</v>
      </c>
      <c r="I69"/>
      <c r="J69"/>
    </row>
    <row r="70" spans="3:10" ht="18" customHeight="1" x14ac:dyDescent="0.4">
      <c r="C70" s="17">
        <v>98</v>
      </c>
      <c r="D70" s="17" t="s">
        <v>45</v>
      </c>
      <c r="E70" s="27" t="s">
        <v>93</v>
      </c>
      <c r="I70"/>
      <c r="J70"/>
    </row>
    <row r="71" spans="3:10" ht="18" customHeight="1" x14ac:dyDescent="0.4">
      <c r="C71" s="17">
        <v>99</v>
      </c>
      <c r="D71" s="17" t="s">
        <v>45</v>
      </c>
      <c r="E71" s="27" t="s">
        <v>93</v>
      </c>
      <c r="I71"/>
      <c r="J71"/>
    </row>
    <row r="72" spans="3:10" ht="18" customHeight="1" x14ac:dyDescent="0.3">
      <c r="C72"/>
      <c r="I72"/>
      <c r="J72"/>
    </row>
    <row r="73" spans="3:10" ht="18" customHeight="1" x14ac:dyDescent="0.3">
      <c r="C73"/>
      <c r="I73"/>
      <c r="J73"/>
    </row>
    <row r="74" spans="3:10" ht="18" customHeight="1" x14ac:dyDescent="0.3">
      <c r="C74"/>
      <c r="I74"/>
    </row>
    <row r="75" spans="3:10" ht="18" customHeight="1" x14ac:dyDescent="0.3">
      <c r="C75"/>
      <c r="I75"/>
    </row>
    <row r="76" spans="3:10" ht="18" customHeight="1" x14ac:dyDescent="0.3">
      <c r="C76"/>
      <c r="I76"/>
    </row>
    <row r="77" spans="3:10" ht="18" customHeight="1" x14ac:dyDescent="0.3">
      <c r="C77"/>
      <c r="I77"/>
    </row>
    <row r="78" spans="3:10" ht="18" customHeight="1" x14ac:dyDescent="0.3">
      <c r="C78"/>
      <c r="I78"/>
    </row>
    <row r="79" spans="3:10" ht="18" customHeight="1" x14ac:dyDescent="0.3">
      <c r="C79"/>
      <c r="I79"/>
    </row>
    <row r="80" spans="3:10" ht="18" customHeight="1" x14ac:dyDescent="0.3">
      <c r="C80"/>
      <c r="I80"/>
    </row>
    <row r="81" spans="3:9" ht="18" customHeight="1" x14ac:dyDescent="0.3">
      <c r="C81"/>
      <c r="I81"/>
    </row>
    <row r="82" spans="3:9" ht="18" customHeight="1" x14ac:dyDescent="0.3">
      <c r="C82"/>
      <c r="I82"/>
    </row>
    <row r="83" spans="3:9" ht="18" customHeight="1" x14ac:dyDescent="0.3">
      <c r="C83"/>
      <c r="I83"/>
    </row>
    <row r="84" spans="3:9" ht="18" customHeight="1" x14ac:dyDescent="0.3">
      <c r="C84"/>
      <c r="I84"/>
    </row>
    <row r="85" spans="3:9" ht="18" customHeight="1" x14ac:dyDescent="0.3">
      <c r="C85"/>
      <c r="I85"/>
    </row>
    <row r="86" spans="3:9" ht="18" customHeight="1" x14ac:dyDescent="0.3">
      <c r="C86"/>
      <c r="I86"/>
    </row>
    <row r="87" spans="3:9" ht="18" customHeight="1" x14ac:dyDescent="0.3">
      <c r="C87"/>
      <c r="I87"/>
    </row>
    <row r="88" spans="3:9" ht="18" customHeight="1" x14ac:dyDescent="0.3">
      <c r="C88"/>
      <c r="I88"/>
    </row>
    <row r="89" spans="3:9" ht="18" customHeight="1" x14ac:dyDescent="0.3">
      <c r="C89"/>
      <c r="I89"/>
    </row>
    <row r="90" spans="3:9" ht="18" customHeight="1" x14ac:dyDescent="0.3">
      <c r="C90"/>
      <c r="I90"/>
    </row>
    <row r="91" spans="3:9" ht="18" customHeight="1" x14ac:dyDescent="0.3">
      <c r="C91"/>
      <c r="I91"/>
    </row>
    <row r="92" spans="3:9" ht="18" customHeight="1" x14ac:dyDescent="0.3">
      <c r="C92"/>
      <c r="I92"/>
    </row>
    <row r="93" spans="3:9" ht="18" customHeight="1" x14ac:dyDescent="0.3">
      <c r="C93"/>
      <c r="I93"/>
    </row>
    <row r="94" spans="3:9" ht="18" customHeight="1" x14ac:dyDescent="0.3">
      <c r="C94"/>
      <c r="I94"/>
    </row>
    <row r="95" spans="3:9" ht="18" customHeight="1" x14ac:dyDescent="0.3">
      <c r="C95"/>
      <c r="I95"/>
    </row>
    <row r="96" spans="3:9" ht="18" customHeight="1" x14ac:dyDescent="0.3">
      <c r="C96"/>
      <c r="I96"/>
    </row>
    <row r="97" spans="3:9" ht="18" customHeight="1" x14ac:dyDescent="0.3">
      <c r="C97"/>
      <c r="I97"/>
    </row>
    <row r="98" spans="3:9" ht="18" customHeight="1" x14ac:dyDescent="0.3">
      <c r="C98"/>
      <c r="I98"/>
    </row>
    <row r="99" spans="3:9" ht="18" customHeight="1" x14ac:dyDescent="0.3">
      <c r="C99"/>
      <c r="I99"/>
    </row>
    <row r="100" spans="3:9" ht="18" customHeight="1" x14ac:dyDescent="0.3">
      <c r="C100"/>
      <c r="I100"/>
    </row>
    <row r="101" spans="3:9" ht="18" customHeight="1" x14ac:dyDescent="0.3">
      <c r="C101"/>
      <c r="I101"/>
    </row>
    <row r="102" spans="3:9" ht="18" customHeight="1" x14ac:dyDescent="0.3">
      <c r="C102"/>
      <c r="I102"/>
    </row>
    <row r="103" spans="3:9" ht="18" customHeight="1" x14ac:dyDescent="0.3">
      <c r="C103"/>
      <c r="I103"/>
    </row>
    <row r="104" spans="3:9" ht="18" customHeight="1" x14ac:dyDescent="0.3">
      <c r="C104"/>
      <c r="I104"/>
    </row>
    <row r="105" spans="3:9" ht="18" customHeight="1" x14ac:dyDescent="0.3">
      <c r="C105"/>
      <c r="I105"/>
    </row>
    <row r="106" spans="3:9" ht="18" customHeight="1" x14ac:dyDescent="0.3">
      <c r="C106"/>
      <c r="I106"/>
    </row>
    <row r="107" spans="3:9" ht="18" customHeight="1" x14ac:dyDescent="0.3">
      <c r="C107"/>
      <c r="I107"/>
    </row>
    <row r="108" spans="3:9" ht="18" customHeight="1" x14ac:dyDescent="0.3">
      <c r="C108"/>
      <c r="I108"/>
    </row>
    <row r="109" spans="3:9" ht="18" customHeight="1" x14ac:dyDescent="0.3">
      <c r="C109"/>
      <c r="I109"/>
    </row>
    <row r="110" spans="3:9" ht="18" customHeight="1" x14ac:dyDescent="0.3">
      <c r="C110"/>
      <c r="I110"/>
    </row>
    <row r="111" spans="3:9" ht="18" customHeight="1" x14ac:dyDescent="0.3">
      <c r="C111"/>
      <c r="I111"/>
    </row>
    <row r="112" spans="3:9" ht="18" customHeight="1" x14ac:dyDescent="0.3">
      <c r="C112"/>
      <c r="I112"/>
    </row>
    <row r="113" spans="3:9" ht="18" customHeight="1" x14ac:dyDescent="0.3">
      <c r="C113"/>
      <c r="I113"/>
    </row>
    <row r="114" spans="3:9" ht="18" customHeight="1" x14ac:dyDescent="0.3">
      <c r="C114"/>
      <c r="I114"/>
    </row>
    <row r="115" spans="3:9" ht="18" customHeight="1" x14ac:dyDescent="0.3">
      <c r="C115"/>
      <c r="I115"/>
    </row>
    <row r="116" spans="3:9" ht="18" customHeight="1" x14ac:dyDescent="0.3">
      <c r="C116"/>
      <c r="I116"/>
    </row>
    <row r="117" spans="3:9" ht="18" customHeight="1" x14ac:dyDescent="0.3">
      <c r="C117"/>
      <c r="I117"/>
    </row>
    <row r="118" spans="3:9" ht="18" customHeight="1" x14ac:dyDescent="0.3">
      <c r="C118"/>
      <c r="I118"/>
    </row>
    <row r="119" spans="3:9" ht="18" customHeight="1" x14ac:dyDescent="0.3">
      <c r="C119"/>
      <c r="I119"/>
    </row>
    <row r="120" spans="3:9" ht="18" customHeight="1" x14ac:dyDescent="0.3">
      <c r="C120"/>
      <c r="I120"/>
    </row>
    <row r="121" spans="3:9" ht="18" customHeight="1" x14ac:dyDescent="0.3">
      <c r="C121"/>
      <c r="I121"/>
    </row>
    <row r="122" spans="3:9" ht="18" customHeight="1" x14ac:dyDescent="0.3">
      <c r="C122"/>
      <c r="I122"/>
    </row>
    <row r="123" spans="3:9" ht="18" customHeight="1" x14ac:dyDescent="0.3">
      <c r="C123"/>
      <c r="I123"/>
    </row>
    <row r="124" spans="3:9" ht="18" customHeight="1" x14ac:dyDescent="0.3">
      <c r="C124"/>
      <c r="I124"/>
    </row>
    <row r="125" spans="3:9" ht="18" customHeight="1" x14ac:dyDescent="0.3">
      <c r="C125"/>
      <c r="I125"/>
    </row>
    <row r="126" spans="3:9" ht="18" customHeight="1" x14ac:dyDescent="0.3">
      <c r="C126"/>
      <c r="I126"/>
    </row>
    <row r="127" spans="3:9" ht="18" customHeight="1" x14ac:dyDescent="0.3">
      <c r="C127"/>
      <c r="I127"/>
    </row>
    <row r="128" spans="3:9" ht="18" customHeight="1" x14ac:dyDescent="0.3">
      <c r="C128"/>
      <c r="I128"/>
    </row>
    <row r="129" spans="3:9" ht="18" customHeight="1" x14ac:dyDescent="0.3">
      <c r="C129"/>
      <c r="I129"/>
    </row>
    <row r="130" spans="3:9" ht="18" customHeight="1" x14ac:dyDescent="0.3">
      <c r="C130"/>
      <c r="I130"/>
    </row>
    <row r="131" spans="3:9" ht="18" customHeight="1" x14ac:dyDescent="0.3">
      <c r="C131"/>
      <c r="I131"/>
    </row>
    <row r="132" spans="3:9" ht="18" customHeight="1" x14ac:dyDescent="0.3">
      <c r="C132"/>
      <c r="I132"/>
    </row>
    <row r="133" spans="3:9" ht="18" customHeight="1" x14ac:dyDescent="0.3">
      <c r="C133"/>
      <c r="I133"/>
    </row>
    <row r="134" spans="3:9" ht="18" customHeight="1" x14ac:dyDescent="0.3">
      <c r="C134"/>
      <c r="I134"/>
    </row>
    <row r="135" spans="3:9" ht="18" customHeight="1" x14ac:dyDescent="0.3">
      <c r="C135"/>
      <c r="I135"/>
    </row>
    <row r="136" spans="3:9" ht="18" customHeight="1" x14ac:dyDescent="0.3">
      <c r="C136"/>
      <c r="I136"/>
    </row>
    <row r="137" spans="3:9" ht="18" customHeight="1" x14ac:dyDescent="0.3">
      <c r="C137"/>
      <c r="I137"/>
    </row>
    <row r="138" spans="3:9" ht="18" customHeight="1" x14ac:dyDescent="0.3">
      <c r="C138"/>
      <c r="I138"/>
    </row>
    <row r="139" spans="3:9" ht="18" customHeight="1" x14ac:dyDescent="0.3">
      <c r="C139"/>
      <c r="I139"/>
    </row>
    <row r="140" spans="3:9" ht="18" customHeight="1" x14ac:dyDescent="0.3">
      <c r="C140"/>
      <c r="I140"/>
    </row>
    <row r="141" spans="3:9" ht="18" customHeight="1" x14ac:dyDescent="0.3">
      <c r="C141"/>
      <c r="I141"/>
    </row>
    <row r="142" spans="3:9" ht="18" customHeight="1" x14ac:dyDescent="0.3">
      <c r="C142"/>
      <c r="I142"/>
    </row>
    <row r="143" spans="3:9" ht="18" customHeight="1" x14ac:dyDescent="0.3">
      <c r="C143"/>
      <c r="I143"/>
    </row>
    <row r="144" spans="3:9" ht="18" customHeight="1" x14ac:dyDescent="0.3">
      <c r="C144"/>
      <c r="I144"/>
    </row>
    <row r="145" spans="3:9" ht="18" customHeight="1" x14ac:dyDescent="0.3">
      <c r="C145"/>
      <c r="I145"/>
    </row>
    <row r="146" spans="3:9" ht="18" customHeight="1" x14ac:dyDescent="0.3">
      <c r="C146"/>
      <c r="I146"/>
    </row>
    <row r="147" spans="3:9" ht="18" customHeight="1" x14ac:dyDescent="0.3">
      <c r="C147"/>
      <c r="I147"/>
    </row>
    <row r="148" spans="3:9" ht="18" customHeight="1" x14ac:dyDescent="0.3">
      <c r="C148"/>
      <c r="I148"/>
    </row>
    <row r="149" spans="3:9" ht="18" customHeight="1" x14ac:dyDescent="0.3">
      <c r="C149"/>
      <c r="I149"/>
    </row>
    <row r="150" spans="3:9" ht="18" customHeight="1" x14ac:dyDescent="0.3">
      <c r="C150"/>
      <c r="I150"/>
    </row>
    <row r="151" spans="3:9" ht="18" customHeight="1" x14ac:dyDescent="0.3">
      <c r="C151"/>
      <c r="I151"/>
    </row>
    <row r="152" spans="3:9" ht="18" customHeight="1" x14ac:dyDescent="0.3">
      <c r="C152"/>
      <c r="I152"/>
    </row>
    <row r="153" spans="3:9" ht="18" customHeight="1" x14ac:dyDescent="0.3">
      <c r="C153"/>
      <c r="I153"/>
    </row>
    <row r="154" spans="3:9" ht="18" customHeight="1" x14ac:dyDescent="0.3">
      <c r="C154"/>
      <c r="I154"/>
    </row>
    <row r="155" spans="3:9" ht="18" customHeight="1" x14ac:dyDescent="0.3">
      <c r="C155"/>
      <c r="I155"/>
    </row>
    <row r="156" spans="3:9" ht="18" customHeight="1" x14ac:dyDescent="0.3">
      <c r="C156"/>
      <c r="I156"/>
    </row>
    <row r="157" spans="3:9" ht="18" customHeight="1" x14ac:dyDescent="0.3">
      <c r="C157"/>
      <c r="I157"/>
    </row>
    <row r="158" spans="3:9" ht="18" customHeight="1" x14ac:dyDescent="0.3">
      <c r="C158"/>
      <c r="I158"/>
    </row>
    <row r="159" spans="3:9" ht="18" customHeight="1" x14ac:dyDescent="0.3">
      <c r="C159"/>
      <c r="I159"/>
    </row>
    <row r="160" spans="3:9" ht="18" customHeight="1" x14ac:dyDescent="0.3">
      <c r="C160"/>
      <c r="I160"/>
    </row>
    <row r="161" spans="3:9" ht="18" customHeight="1" x14ac:dyDescent="0.3">
      <c r="C161"/>
      <c r="I161"/>
    </row>
    <row r="162" spans="3:9" ht="18" customHeight="1" x14ac:dyDescent="0.3">
      <c r="C162"/>
      <c r="I162"/>
    </row>
    <row r="163" spans="3:9" ht="18" customHeight="1" x14ac:dyDescent="0.3">
      <c r="C163"/>
      <c r="I163"/>
    </row>
    <row r="164" spans="3:9" ht="18" customHeight="1" x14ac:dyDescent="0.3">
      <c r="C164"/>
      <c r="I164"/>
    </row>
    <row r="165" spans="3:9" ht="18" customHeight="1" x14ac:dyDescent="0.3">
      <c r="C165"/>
      <c r="I165"/>
    </row>
    <row r="166" spans="3:9" ht="18" customHeight="1" x14ac:dyDescent="0.3">
      <c r="C166"/>
      <c r="I166"/>
    </row>
    <row r="167" spans="3:9" ht="18" customHeight="1" x14ac:dyDescent="0.3">
      <c r="C167"/>
      <c r="I167"/>
    </row>
    <row r="168" spans="3:9" ht="18" customHeight="1" x14ac:dyDescent="0.3">
      <c r="C168"/>
      <c r="I168"/>
    </row>
    <row r="169" spans="3:9" ht="18" customHeight="1" x14ac:dyDescent="0.3">
      <c r="C169"/>
      <c r="I169"/>
    </row>
    <row r="170" spans="3:9" ht="18" customHeight="1" x14ac:dyDescent="0.3">
      <c r="C170"/>
      <c r="I170"/>
    </row>
    <row r="171" spans="3:9" ht="18" customHeight="1" x14ac:dyDescent="0.3">
      <c r="C171"/>
      <c r="I171"/>
    </row>
    <row r="172" spans="3:9" ht="18" customHeight="1" x14ac:dyDescent="0.3">
      <c r="C172"/>
      <c r="I172"/>
    </row>
    <row r="173" spans="3:9" ht="18" customHeight="1" x14ac:dyDescent="0.3">
      <c r="C173"/>
      <c r="I173"/>
    </row>
    <row r="174" spans="3:9" ht="18" customHeight="1" x14ac:dyDescent="0.3">
      <c r="C174"/>
      <c r="I174"/>
    </row>
    <row r="175" spans="3:9" ht="18" customHeight="1" x14ac:dyDescent="0.3">
      <c r="C175"/>
      <c r="I175"/>
    </row>
    <row r="176" spans="3:9" ht="18" customHeight="1" x14ac:dyDescent="0.3">
      <c r="C176"/>
      <c r="I176"/>
    </row>
    <row r="177" spans="3:9" ht="18" customHeight="1" x14ac:dyDescent="0.3">
      <c r="C177"/>
      <c r="I177"/>
    </row>
    <row r="178" spans="3:9" ht="18" customHeight="1" x14ac:dyDescent="0.3">
      <c r="C178"/>
      <c r="I178"/>
    </row>
    <row r="179" spans="3:9" ht="18" customHeight="1" x14ac:dyDescent="0.3">
      <c r="C179"/>
      <c r="I179"/>
    </row>
    <row r="180" spans="3:9" ht="18" customHeight="1" x14ac:dyDescent="0.3">
      <c r="C180"/>
      <c r="I180"/>
    </row>
    <row r="181" spans="3:9" ht="18" customHeight="1" x14ac:dyDescent="0.3">
      <c r="C181"/>
      <c r="I181"/>
    </row>
    <row r="182" spans="3:9" ht="18" customHeight="1" x14ac:dyDescent="0.3">
      <c r="C182"/>
      <c r="I182"/>
    </row>
    <row r="183" spans="3:9" ht="18" customHeight="1" x14ac:dyDescent="0.3">
      <c r="C183"/>
      <c r="I183"/>
    </row>
    <row r="184" spans="3:9" ht="18" customHeight="1" x14ac:dyDescent="0.3">
      <c r="C184"/>
      <c r="I184"/>
    </row>
    <row r="185" spans="3:9" ht="18" customHeight="1" x14ac:dyDescent="0.3">
      <c r="C185"/>
      <c r="I185"/>
    </row>
    <row r="186" spans="3:9" ht="18" customHeight="1" x14ac:dyDescent="0.3">
      <c r="C186"/>
      <c r="I186"/>
    </row>
    <row r="187" spans="3:9" ht="18" customHeight="1" x14ac:dyDescent="0.3">
      <c r="C187"/>
      <c r="I187"/>
    </row>
    <row r="188" spans="3:9" ht="18" customHeight="1" x14ac:dyDescent="0.3">
      <c r="C188"/>
      <c r="I188"/>
    </row>
    <row r="189" spans="3:9" ht="18" customHeight="1" x14ac:dyDescent="0.3">
      <c r="C189"/>
      <c r="I189"/>
    </row>
    <row r="190" spans="3:9" ht="18" customHeight="1" x14ac:dyDescent="0.3">
      <c r="C190"/>
      <c r="I190"/>
    </row>
    <row r="191" spans="3:9" ht="18" customHeight="1" x14ac:dyDescent="0.3">
      <c r="C191"/>
      <c r="I191"/>
    </row>
    <row r="192" spans="3:9" ht="18" customHeight="1" x14ac:dyDescent="0.3">
      <c r="C192"/>
      <c r="I192"/>
    </row>
    <row r="193" spans="3:9" ht="18" customHeight="1" x14ac:dyDescent="0.3">
      <c r="C193"/>
      <c r="I193"/>
    </row>
    <row r="194" spans="3:9" ht="18" customHeight="1" x14ac:dyDescent="0.3">
      <c r="C194"/>
      <c r="I194"/>
    </row>
    <row r="195" spans="3:9" ht="18" customHeight="1" x14ac:dyDescent="0.3">
      <c r="C195"/>
      <c r="I195"/>
    </row>
    <row r="196" spans="3:9" ht="18" customHeight="1" x14ac:dyDescent="0.3">
      <c r="C196"/>
      <c r="I196"/>
    </row>
    <row r="197" spans="3:9" ht="18" customHeight="1" x14ac:dyDescent="0.3">
      <c r="C197"/>
      <c r="I197"/>
    </row>
    <row r="198" spans="3:9" ht="18" customHeight="1" x14ac:dyDescent="0.3">
      <c r="C198"/>
      <c r="I198"/>
    </row>
    <row r="199" spans="3:9" ht="18" customHeight="1" x14ac:dyDescent="0.3">
      <c r="C199"/>
      <c r="I199"/>
    </row>
    <row r="200" spans="3:9" ht="18" customHeight="1" x14ac:dyDescent="0.3">
      <c r="C200"/>
      <c r="I200"/>
    </row>
    <row r="201" spans="3:9" ht="18" customHeight="1" x14ac:dyDescent="0.3">
      <c r="C201"/>
      <c r="I201"/>
    </row>
    <row r="202" spans="3:9" ht="18" customHeight="1" x14ac:dyDescent="0.3">
      <c r="C202"/>
      <c r="I202"/>
    </row>
    <row r="203" spans="3:9" ht="18" customHeight="1" x14ac:dyDescent="0.3">
      <c r="C203"/>
      <c r="I203"/>
    </row>
    <row r="204" spans="3:9" ht="18" customHeight="1" x14ac:dyDescent="0.3">
      <c r="C204"/>
      <c r="I204"/>
    </row>
    <row r="205" spans="3:9" ht="18" customHeight="1" x14ac:dyDescent="0.3">
      <c r="C205"/>
      <c r="I205"/>
    </row>
    <row r="206" spans="3:9" ht="18" customHeight="1" x14ac:dyDescent="0.3">
      <c r="C206"/>
      <c r="I206"/>
    </row>
    <row r="207" spans="3:9" ht="18" customHeight="1" x14ac:dyDescent="0.3">
      <c r="C207"/>
      <c r="I207"/>
    </row>
    <row r="208" spans="3:9" ht="18" customHeight="1" x14ac:dyDescent="0.3">
      <c r="C208"/>
      <c r="I208"/>
    </row>
    <row r="209" spans="3:9" ht="18" customHeight="1" x14ac:dyDescent="0.3">
      <c r="C209"/>
      <c r="I209"/>
    </row>
    <row r="210" spans="3:9" ht="18" customHeight="1" x14ac:dyDescent="0.3">
      <c r="C210"/>
      <c r="I210"/>
    </row>
    <row r="211" spans="3:9" ht="18" customHeight="1" x14ac:dyDescent="0.3">
      <c r="C211"/>
      <c r="I211"/>
    </row>
    <row r="212" spans="3:9" ht="18" customHeight="1" x14ac:dyDescent="0.3">
      <c r="C212"/>
      <c r="I212"/>
    </row>
    <row r="213" spans="3:9" ht="18" customHeight="1" x14ac:dyDescent="0.3">
      <c r="C213"/>
      <c r="I213"/>
    </row>
    <row r="214" spans="3:9" ht="18" customHeight="1" x14ac:dyDescent="0.3">
      <c r="C214"/>
      <c r="I214"/>
    </row>
    <row r="215" spans="3:9" ht="18" customHeight="1" x14ac:dyDescent="0.3">
      <c r="C215"/>
      <c r="I215"/>
    </row>
    <row r="216" spans="3:9" ht="18" customHeight="1" x14ac:dyDescent="0.3">
      <c r="C216"/>
      <c r="I216"/>
    </row>
    <row r="217" spans="3:9" ht="18" customHeight="1" x14ac:dyDescent="0.3">
      <c r="C217"/>
      <c r="I217"/>
    </row>
    <row r="218" spans="3:9" ht="18" customHeight="1" x14ac:dyDescent="0.3">
      <c r="C218"/>
      <c r="I218"/>
    </row>
    <row r="219" spans="3:9" ht="18" customHeight="1" x14ac:dyDescent="0.3">
      <c r="C219"/>
      <c r="I219"/>
    </row>
    <row r="220" spans="3:9" ht="18" customHeight="1" x14ac:dyDescent="0.3">
      <c r="C220"/>
      <c r="I220"/>
    </row>
    <row r="221" spans="3:9" ht="18" customHeight="1" x14ac:dyDescent="0.3">
      <c r="C221"/>
      <c r="I221"/>
    </row>
    <row r="222" spans="3:9" ht="18" customHeight="1" x14ac:dyDescent="0.3">
      <c r="C222"/>
      <c r="I222"/>
    </row>
    <row r="223" spans="3:9" ht="18" customHeight="1" x14ac:dyDescent="0.3">
      <c r="C223"/>
      <c r="I223"/>
    </row>
    <row r="224" spans="3:9" ht="18" customHeight="1" x14ac:dyDescent="0.3">
      <c r="C224"/>
      <c r="I224"/>
    </row>
    <row r="225" spans="3:9" ht="18" customHeight="1" x14ac:dyDescent="0.3">
      <c r="C225"/>
      <c r="I225"/>
    </row>
    <row r="226" spans="3:9" ht="18" customHeight="1" x14ac:dyDescent="0.3">
      <c r="C226"/>
      <c r="I226"/>
    </row>
    <row r="227" spans="3:9" ht="18" customHeight="1" x14ac:dyDescent="0.3">
      <c r="C227"/>
      <c r="I227"/>
    </row>
    <row r="228" spans="3:9" ht="18" customHeight="1" x14ac:dyDescent="0.3">
      <c r="C228"/>
      <c r="I228"/>
    </row>
    <row r="229" spans="3:9" ht="18" customHeight="1" x14ac:dyDescent="0.3">
      <c r="C229"/>
      <c r="I229"/>
    </row>
    <row r="230" spans="3:9" ht="18" customHeight="1" x14ac:dyDescent="0.3">
      <c r="C230"/>
      <c r="I230"/>
    </row>
    <row r="231" spans="3:9" ht="18" customHeight="1" x14ac:dyDescent="0.3">
      <c r="C231"/>
      <c r="I231"/>
    </row>
    <row r="232" spans="3:9" ht="18" customHeight="1" x14ac:dyDescent="0.3">
      <c r="C232"/>
      <c r="I232"/>
    </row>
    <row r="233" spans="3:9" ht="18" customHeight="1" x14ac:dyDescent="0.3">
      <c r="C233"/>
      <c r="I233"/>
    </row>
    <row r="234" spans="3:9" ht="18" customHeight="1" x14ac:dyDescent="0.3">
      <c r="C234"/>
      <c r="I234"/>
    </row>
    <row r="235" spans="3:9" ht="18" customHeight="1" x14ac:dyDescent="0.3">
      <c r="C235"/>
      <c r="I235"/>
    </row>
    <row r="236" spans="3:9" ht="18" customHeight="1" x14ac:dyDescent="0.3">
      <c r="C236"/>
      <c r="I236"/>
    </row>
    <row r="237" spans="3:9" ht="18" customHeight="1" x14ac:dyDescent="0.3">
      <c r="C237"/>
      <c r="I237"/>
    </row>
    <row r="238" spans="3:9" ht="18" customHeight="1" x14ac:dyDescent="0.3">
      <c r="C238"/>
      <c r="I238"/>
    </row>
    <row r="239" spans="3:9" ht="18" customHeight="1" x14ac:dyDescent="0.3">
      <c r="C239"/>
      <c r="I239"/>
    </row>
    <row r="240" spans="3:9" ht="18" customHeight="1" x14ac:dyDescent="0.3">
      <c r="C240"/>
      <c r="I240"/>
    </row>
    <row r="241" spans="3:9" ht="18" customHeight="1" x14ac:dyDescent="0.3">
      <c r="C241"/>
      <c r="I241"/>
    </row>
    <row r="242" spans="3:9" ht="18" customHeight="1" x14ac:dyDescent="0.3">
      <c r="C242"/>
      <c r="I242"/>
    </row>
    <row r="243" spans="3:9" ht="18" customHeight="1" x14ac:dyDescent="0.3">
      <c r="C243"/>
      <c r="I243"/>
    </row>
    <row r="244" spans="3:9" ht="18" customHeight="1" x14ac:dyDescent="0.3">
      <c r="C244"/>
      <c r="I244"/>
    </row>
    <row r="245" spans="3:9" ht="18" customHeight="1" x14ac:dyDescent="0.3">
      <c r="C245"/>
      <c r="I245"/>
    </row>
    <row r="246" spans="3:9" ht="18" customHeight="1" x14ac:dyDescent="0.3">
      <c r="C246"/>
      <c r="I246"/>
    </row>
    <row r="247" spans="3:9" ht="18" customHeight="1" x14ac:dyDescent="0.3">
      <c r="C247"/>
      <c r="I247"/>
    </row>
    <row r="248" spans="3:9" ht="18" customHeight="1" x14ac:dyDescent="0.3">
      <c r="C248"/>
      <c r="I248"/>
    </row>
    <row r="249" spans="3:9" ht="18" customHeight="1" x14ac:dyDescent="0.3">
      <c r="C249"/>
      <c r="I249"/>
    </row>
    <row r="250" spans="3:9" ht="18" customHeight="1" x14ac:dyDescent="0.3">
      <c r="C250"/>
      <c r="I250"/>
    </row>
    <row r="251" spans="3:9" ht="18" customHeight="1" x14ac:dyDescent="0.3">
      <c r="C251"/>
      <c r="I251"/>
    </row>
    <row r="252" spans="3:9" ht="18" customHeight="1" x14ac:dyDescent="0.3">
      <c r="C252"/>
      <c r="I252"/>
    </row>
    <row r="253" spans="3:9" ht="18" customHeight="1" x14ac:dyDescent="0.3">
      <c r="C253"/>
      <c r="I253"/>
    </row>
    <row r="254" spans="3:9" ht="18" customHeight="1" x14ac:dyDescent="0.3">
      <c r="C254"/>
      <c r="I254"/>
    </row>
    <row r="255" spans="3:9" ht="18" customHeight="1" x14ac:dyDescent="0.3">
      <c r="C255"/>
      <c r="I255"/>
    </row>
    <row r="256" spans="3:9" ht="18" customHeight="1" x14ac:dyDescent="0.3">
      <c r="C256"/>
      <c r="I256"/>
    </row>
    <row r="257" spans="3:9" ht="18" customHeight="1" x14ac:dyDescent="0.3">
      <c r="C257"/>
      <c r="I257"/>
    </row>
    <row r="258" spans="3:9" ht="18" customHeight="1" x14ac:dyDescent="0.3">
      <c r="C258"/>
      <c r="I258"/>
    </row>
    <row r="259" spans="3:9" ht="18" customHeight="1" x14ac:dyDescent="0.3">
      <c r="C259"/>
      <c r="I259"/>
    </row>
    <row r="260" spans="3:9" ht="18" customHeight="1" x14ac:dyDescent="0.3">
      <c r="C260"/>
      <c r="I260"/>
    </row>
    <row r="261" spans="3:9" ht="18" customHeight="1" x14ac:dyDescent="0.3">
      <c r="C261"/>
      <c r="I261"/>
    </row>
    <row r="262" spans="3:9" ht="18" customHeight="1" x14ac:dyDescent="0.3">
      <c r="C262"/>
      <c r="I262"/>
    </row>
    <row r="263" spans="3:9" ht="18" customHeight="1" x14ac:dyDescent="0.3">
      <c r="C263"/>
      <c r="I263"/>
    </row>
    <row r="264" spans="3:9" ht="18" customHeight="1" x14ac:dyDescent="0.3">
      <c r="C264"/>
      <c r="I264"/>
    </row>
    <row r="265" spans="3:9" ht="18" customHeight="1" x14ac:dyDescent="0.3">
      <c r="C265"/>
      <c r="I265"/>
    </row>
    <row r="266" spans="3:9" ht="18" customHeight="1" x14ac:dyDescent="0.3">
      <c r="C266"/>
      <c r="I266"/>
    </row>
    <row r="267" spans="3:9" ht="18" customHeight="1" x14ac:dyDescent="0.3">
      <c r="C267"/>
      <c r="I267"/>
    </row>
    <row r="268" spans="3:9" ht="18" customHeight="1" x14ac:dyDescent="0.3">
      <c r="C268"/>
      <c r="I268"/>
    </row>
    <row r="269" spans="3:9" ht="18" customHeight="1" x14ac:dyDescent="0.3">
      <c r="C269"/>
      <c r="I269"/>
    </row>
    <row r="270" spans="3:9" ht="18" customHeight="1" x14ac:dyDescent="0.3">
      <c r="C270"/>
      <c r="I270"/>
    </row>
    <row r="271" spans="3:9" ht="18" customHeight="1" x14ac:dyDescent="0.3">
      <c r="C271"/>
      <c r="I271"/>
    </row>
    <row r="272" spans="3:9" ht="18" customHeight="1" x14ac:dyDescent="0.3">
      <c r="C272"/>
      <c r="I272"/>
    </row>
    <row r="273" spans="3:9" ht="18" customHeight="1" x14ac:dyDescent="0.3">
      <c r="C273"/>
      <c r="I273"/>
    </row>
    <row r="274" spans="3:9" ht="18" customHeight="1" x14ac:dyDescent="0.3">
      <c r="C274"/>
      <c r="I274"/>
    </row>
    <row r="275" spans="3:9" ht="18" customHeight="1" x14ac:dyDescent="0.3">
      <c r="C275"/>
      <c r="I275"/>
    </row>
    <row r="276" spans="3:9" ht="18" customHeight="1" x14ac:dyDescent="0.3">
      <c r="C276"/>
      <c r="I276"/>
    </row>
    <row r="277" spans="3:9" ht="18" customHeight="1" x14ac:dyDescent="0.3">
      <c r="C277"/>
      <c r="I277"/>
    </row>
    <row r="278" spans="3:9" ht="18" customHeight="1" x14ac:dyDescent="0.3">
      <c r="C278"/>
      <c r="I278"/>
    </row>
    <row r="279" spans="3:9" ht="18" customHeight="1" x14ac:dyDescent="0.3">
      <c r="C279"/>
      <c r="I279"/>
    </row>
    <row r="280" spans="3:9" ht="18" customHeight="1" x14ac:dyDescent="0.3">
      <c r="C280"/>
      <c r="I280"/>
    </row>
    <row r="281" spans="3:9" ht="18" customHeight="1" x14ac:dyDescent="0.3">
      <c r="C281"/>
      <c r="I281"/>
    </row>
    <row r="282" spans="3:9" ht="18" customHeight="1" x14ac:dyDescent="0.3">
      <c r="C282"/>
      <c r="I282"/>
    </row>
    <row r="283" spans="3:9" ht="18" customHeight="1" x14ac:dyDescent="0.3">
      <c r="C283"/>
      <c r="I283"/>
    </row>
    <row r="284" spans="3:9" ht="18" customHeight="1" x14ac:dyDescent="0.3">
      <c r="C284"/>
      <c r="I284"/>
    </row>
    <row r="285" spans="3:9" ht="18" customHeight="1" x14ac:dyDescent="0.3">
      <c r="C285"/>
      <c r="I285"/>
    </row>
    <row r="286" spans="3:9" ht="18" customHeight="1" x14ac:dyDescent="0.3">
      <c r="C286"/>
      <c r="I286"/>
    </row>
    <row r="287" spans="3:9" ht="18" customHeight="1" x14ac:dyDescent="0.3">
      <c r="C287"/>
      <c r="I287"/>
    </row>
    <row r="288" spans="3:9" ht="18" customHeight="1" x14ac:dyDescent="0.3">
      <c r="C288"/>
      <c r="I288"/>
    </row>
    <row r="289" spans="3:9" ht="18" customHeight="1" x14ac:dyDescent="0.3">
      <c r="C289"/>
      <c r="I289"/>
    </row>
    <row r="290" spans="3:9" ht="18" customHeight="1" x14ac:dyDescent="0.3">
      <c r="C290"/>
      <c r="I290"/>
    </row>
    <row r="291" spans="3:9" ht="18" customHeight="1" x14ac:dyDescent="0.3">
      <c r="C291"/>
      <c r="I291"/>
    </row>
    <row r="292" spans="3:9" ht="18" customHeight="1" x14ac:dyDescent="0.3">
      <c r="C292"/>
      <c r="I292"/>
    </row>
    <row r="293" spans="3:9" ht="18" customHeight="1" x14ac:dyDescent="0.3">
      <c r="C293"/>
      <c r="I293"/>
    </row>
    <row r="294" spans="3:9" ht="18" customHeight="1" x14ac:dyDescent="0.3">
      <c r="C294"/>
      <c r="I294"/>
    </row>
    <row r="295" spans="3:9" ht="18" customHeight="1" x14ac:dyDescent="0.3">
      <c r="C295"/>
      <c r="I295"/>
    </row>
    <row r="296" spans="3:9" ht="18" customHeight="1" x14ac:dyDescent="0.3">
      <c r="C296"/>
      <c r="I296"/>
    </row>
    <row r="297" spans="3:9" ht="18" customHeight="1" x14ac:dyDescent="0.3">
      <c r="C297"/>
      <c r="I297"/>
    </row>
    <row r="298" spans="3:9" ht="18" customHeight="1" x14ac:dyDescent="0.3">
      <c r="C298"/>
      <c r="I298"/>
    </row>
    <row r="299" spans="3:9" ht="18" customHeight="1" x14ac:dyDescent="0.3">
      <c r="C299"/>
      <c r="I299"/>
    </row>
    <row r="300" spans="3:9" ht="18" customHeight="1" x14ac:dyDescent="0.3">
      <c r="C300"/>
      <c r="I300"/>
    </row>
    <row r="301" spans="3:9" ht="18" customHeight="1" x14ac:dyDescent="0.3">
      <c r="C301"/>
      <c r="I301"/>
    </row>
    <row r="302" spans="3:9" ht="18" customHeight="1" x14ac:dyDescent="0.3">
      <c r="C302"/>
      <c r="I302"/>
    </row>
    <row r="303" spans="3:9" ht="18" customHeight="1" x14ac:dyDescent="0.3">
      <c r="C303"/>
      <c r="I303"/>
    </row>
    <row r="304" spans="3:9" ht="18" customHeight="1" x14ac:dyDescent="0.3">
      <c r="C304"/>
      <c r="I304"/>
    </row>
    <row r="305" spans="3:9" ht="18" customHeight="1" x14ac:dyDescent="0.3">
      <c r="C305"/>
      <c r="I305"/>
    </row>
    <row r="306" spans="3:9" ht="18" customHeight="1" x14ac:dyDescent="0.3">
      <c r="C306"/>
      <c r="I306"/>
    </row>
    <row r="307" spans="3:9" ht="18" customHeight="1" x14ac:dyDescent="0.3">
      <c r="C307"/>
      <c r="I307"/>
    </row>
    <row r="308" spans="3:9" ht="18" customHeight="1" x14ac:dyDescent="0.3">
      <c r="C308"/>
      <c r="I308"/>
    </row>
    <row r="309" spans="3:9" ht="18" customHeight="1" x14ac:dyDescent="0.3">
      <c r="C309"/>
      <c r="I309"/>
    </row>
    <row r="310" spans="3:9" ht="18" customHeight="1" x14ac:dyDescent="0.3">
      <c r="C310"/>
      <c r="I310"/>
    </row>
    <row r="311" spans="3:9" ht="18" customHeight="1" x14ac:dyDescent="0.3">
      <c r="C311"/>
      <c r="I311"/>
    </row>
    <row r="312" spans="3:9" ht="18" customHeight="1" x14ac:dyDescent="0.3">
      <c r="C312"/>
      <c r="I312"/>
    </row>
    <row r="313" spans="3:9" ht="18" customHeight="1" x14ac:dyDescent="0.3">
      <c r="C313"/>
      <c r="I313"/>
    </row>
    <row r="314" spans="3:9" ht="18" customHeight="1" x14ac:dyDescent="0.3">
      <c r="C314"/>
      <c r="I314"/>
    </row>
    <row r="315" spans="3:9" ht="18" customHeight="1" x14ac:dyDescent="0.3">
      <c r="C315"/>
      <c r="I315"/>
    </row>
    <row r="316" spans="3:9" ht="18" customHeight="1" x14ac:dyDescent="0.3">
      <c r="C316"/>
      <c r="I316"/>
    </row>
    <row r="317" spans="3:9" ht="18" customHeight="1" x14ac:dyDescent="0.3">
      <c r="C317"/>
      <c r="I317"/>
    </row>
    <row r="318" spans="3:9" ht="18" customHeight="1" x14ac:dyDescent="0.3">
      <c r="C318"/>
      <c r="I318"/>
    </row>
    <row r="319" spans="3:9" ht="18" customHeight="1" x14ac:dyDescent="0.3">
      <c r="C319"/>
      <c r="I319"/>
    </row>
    <row r="320" spans="3:9" ht="18" customHeight="1" x14ac:dyDescent="0.3">
      <c r="C320"/>
      <c r="I320"/>
    </row>
    <row r="321" spans="3:9" ht="18" customHeight="1" x14ac:dyDescent="0.3">
      <c r="C321"/>
      <c r="I321"/>
    </row>
    <row r="322" spans="3:9" ht="18" customHeight="1" x14ac:dyDescent="0.3">
      <c r="C322"/>
      <c r="I322"/>
    </row>
    <row r="323" spans="3:9" ht="18" customHeight="1" x14ac:dyDescent="0.3">
      <c r="C323"/>
      <c r="I323"/>
    </row>
    <row r="324" spans="3:9" ht="18" customHeight="1" x14ac:dyDescent="0.3">
      <c r="C324"/>
      <c r="I324"/>
    </row>
    <row r="325" spans="3:9" ht="18" customHeight="1" x14ac:dyDescent="0.3">
      <c r="C325"/>
      <c r="I325"/>
    </row>
    <row r="326" spans="3:9" ht="18" customHeight="1" x14ac:dyDescent="0.3">
      <c r="C326"/>
      <c r="I326"/>
    </row>
    <row r="327" spans="3:9" ht="18" customHeight="1" x14ac:dyDescent="0.3">
      <c r="C327"/>
      <c r="I327"/>
    </row>
    <row r="328" spans="3:9" ht="18" customHeight="1" x14ac:dyDescent="0.3">
      <c r="C328"/>
      <c r="I328"/>
    </row>
    <row r="329" spans="3:9" ht="18" customHeight="1" x14ac:dyDescent="0.3">
      <c r="C329"/>
      <c r="I329"/>
    </row>
    <row r="330" spans="3:9" ht="18" customHeight="1" x14ac:dyDescent="0.3">
      <c r="C330"/>
      <c r="I330"/>
    </row>
    <row r="331" spans="3:9" ht="18" customHeight="1" x14ac:dyDescent="0.3">
      <c r="C331"/>
      <c r="I331"/>
    </row>
    <row r="332" spans="3:9" ht="18" customHeight="1" x14ac:dyDescent="0.3">
      <c r="C332"/>
      <c r="I332"/>
    </row>
    <row r="333" spans="3:9" ht="18" customHeight="1" x14ac:dyDescent="0.3">
      <c r="C333"/>
      <c r="I333"/>
    </row>
    <row r="334" spans="3:9" ht="18" customHeight="1" x14ac:dyDescent="0.3">
      <c r="C334"/>
      <c r="I334"/>
    </row>
    <row r="335" spans="3:9" ht="18" customHeight="1" x14ac:dyDescent="0.3">
      <c r="C335"/>
      <c r="I335"/>
    </row>
    <row r="336" spans="3:9" ht="18" customHeight="1" x14ac:dyDescent="0.3">
      <c r="C336"/>
      <c r="I336"/>
    </row>
    <row r="337" spans="3:9" ht="18" customHeight="1" x14ac:dyDescent="0.3">
      <c r="C337"/>
      <c r="I337"/>
    </row>
    <row r="338" spans="3:9" ht="18" customHeight="1" x14ac:dyDescent="0.3">
      <c r="C338"/>
      <c r="I338"/>
    </row>
    <row r="339" spans="3:9" ht="18" customHeight="1" x14ac:dyDescent="0.3">
      <c r="C339"/>
      <c r="I339"/>
    </row>
    <row r="340" spans="3:9" ht="18" customHeight="1" x14ac:dyDescent="0.3">
      <c r="C340"/>
      <c r="I340"/>
    </row>
    <row r="341" spans="3:9" ht="18" customHeight="1" x14ac:dyDescent="0.3">
      <c r="C341"/>
      <c r="I341"/>
    </row>
    <row r="342" spans="3:9" ht="18" customHeight="1" x14ac:dyDescent="0.3">
      <c r="C342"/>
      <c r="I342"/>
    </row>
    <row r="343" spans="3:9" ht="18" customHeight="1" x14ac:dyDescent="0.3">
      <c r="C343"/>
      <c r="I343"/>
    </row>
    <row r="344" spans="3:9" ht="18" customHeight="1" x14ac:dyDescent="0.3">
      <c r="C344"/>
      <c r="I344"/>
    </row>
    <row r="345" spans="3:9" ht="18" customHeight="1" x14ac:dyDescent="0.3">
      <c r="C345"/>
      <c r="I345"/>
    </row>
    <row r="346" spans="3:9" ht="18" customHeight="1" x14ac:dyDescent="0.3">
      <c r="C346"/>
      <c r="I346"/>
    </row>
    <row r="347" spans="3:9" ht="18" customHeight="1" x14ac:dyDescent="0.3">
      <c r="C347"/>
      <c r="I347"/>
    </row>
    <row r="348" spans="3:9" ht="18" customHeight="1" x14ac:dyDescent="0.3">
      <c r="C348"/>
      <c r="I348"/>
    </row>
    <row r="349" spans="3:9" ht="18" customHeight="1" x14ac:dyDescent="0.3">
      <c r="C349"/>
      <c r="I349"/>
    </row>
    <row r="350" spans="3:9" ht="18" customHeight="1" x14ac:dyDescent="0.3">
      <c r="C350"/>
      <c r="I350"/>
    </row>
    <row r="351" spans="3:9" ht="18" customHeight="1" x14ac:dyDescent="0.3">
      <c r="C351"/>
      <c r="I351"/>
    </row>
    <row r="352" spans="3:9" ht="18" customHeight="1" x14ac:dyDescent="0.3">
      <c r="C352"/>
      <c r="I352"/>
    </row>
    <row r="353" spans="3:9" ht="18" customHeight="1" x14ac:dyDescent="0.3">
      <c r="C353"/>
      <c r="I353"/>
    </row>
    <row r="354" spans="3:9" ht="18" customHeight="1" x14ac:dyDescent="0.3">
      <c r="C354"/>
      <c r="I354"/>
    </row>
    <row r="355" spans="3:9" ht="18" customHeight="1" x14ac:dyDescent="0.3">
      <c r="C355"/>
      <c r="I355"/>
    </row>
    <row r="356" spans="3:9" ht="18" customHeight="1" x14ac:dyDescent="0.3">
      <c r="C356"/>
      <c r="I356"/>
    </row>
    <row r="357" spans="3:9" ht="18" customHeight="1" x14ac:dyDescent="0.3">
      <c r="C357"/>
      <c r="I357"/>
    </row>
    <row r="358" spans="3:9" ht="18" customHeight="1" x14ac:dyDescent="0.3">
      <c r="C358"/>
      <c r="I358"/>
    </row>
    <row r="359" spans="3:9" ht="18" customHeight="1" x14ac:dyDescent="0.3">
      <c r="C359"/>
      <c r="I359"/>
    </row>
    <row r="360" spans="3:9" ht="18" customHeight="1" x14ac:dyDescent="0.3">
      <c r="C360"/>
      <c r="I360"/>
    </row>
    <row r="361" spans="3:9" ht="18" customHeight="1" x14ac:dyDescent="0.3">
      <c r="C361"/>
      <c r="I361"/>
    </row>
    <row r="362" spans="3:9" ht="18" customHeight="1" x14ac:dyDescent="0.3">
      <c r="C362"/>
      <c r="I362"/>
    </row>
    <row r="363" spans="3:9" ht="18" customHeight="1" x14ac:dyDescent="0.3">
      <c r="C363"/>
      <c r="I363"/>
    </row>
    <row r="364" spans="3:9" ht="18" customHeight="1" x14ac:dyDescent="0.3">
      <c r="C364"/>
      <c r="I364"/>
    </row>
    <row r="365" spans="3:9" ht="18" customHeight="1" x14ac:dyDescent="0.3">
      <c r="C365"/>
      <c r="I365"/>
    </row>
    <row r="366" spans="3:9" ht="18" customHeight="1" x14ac:dyDescent="0.3">
      <c r="C366"/>
      <c r="I366"/>
    </row>
    <row r="367" spans="3:9" ht="18" customHeight="1" x14ac:dyDescent="0.3">
      <c r="C367"/>
      <c r="I367"/>
    </row>
    <row r="368" spans="3:9" ht="18" customHeight="1" x14ac:dyDescent="0.3">
      <c r="C368"/>
      <c r="I368"/>
    </row>
    <row r="369" spans="3:9" ht="18" customHeight="1" x14ac:dyDescent="0.3">
      <c r="C369"/>
      <c r="I369"/>
    </row>
    <row r="370" spans="3:9" ht="18" customHeight="1" x14ac:dyDescent="0.3">
      <c r="C370"/>
      <c r="I370"/>
    </row>
    <row r="371" spans="3:9" ht="18" customHeight="1" x14ac:dyDescent="0.3">
      <c r="C371"/>
      <c r="I371"/>
    </row>
    <row r="372" spans="3:9" ht="18" customHeight="1" x14ac:dyDescent="0.3">
      <c r="C372"/>
      <c r="I372"/>
    </row>
    <row r="373" spans="3:9" ht="18" customHeight="1" x14ac:dyDescent="0.3">
      <c r="C373"/>
      <c r="I373"/>
    </row>
    <row r="374" spans="3:9" ht="18" customHeight="1" x14ac:dyDescent="0.3">
      <c r="C374"/>
      <c r="I374"/>
    </row>
    <row r="375" spans="3:9" ht="18" customHeight="1" x14ac:dyDescent="0.3">
      <c r="C375"/>
      <c r="I375"/>
    </row>
    <row r="376" spans="3:9" ht="18" customHeight="1" x14ac:dyDescent="0.3">
      <c r="C376"/>
      <c r="I376"/>
    </row>
    <row r="377" spans="3:9" ht="18" customHeight="1" x14ac:dyDescent="0.3">
      <c r="C377"/>
      <c r="I377"/>
    </row>
    <row r="378" spans="3:9" ht="18" customHeight="1" x14ac:dyDescent="0.3">
      <c r="C378"/>
      <c r="I378"/>
    </row>
    <row r="379" spans="3:9" ht="18" customHeight="1" x14ac:dyDescent="0.3">
      <c r="C379"/>
      <c r="I379"/>
    </row>
    <row r="380" spans="3:9" ht="18" customHeight="1" x14ac:dyDescent="0.3">
      <c r="C380"/>
      <c r="I380"/>
    </row>
    <row r="381" spans="3:9" ht="18" customHeight="1" x14ac:dyDescent="0.3">
      <c r="C381"/>
      <c r="I381"/>
    </row>
    <row r="382" spans="3:9" ht="18" customHeight="1" x14ac:dyDescent="0.3">
      <c r="C382"/>
      <c r="I382"/>
    </row>
    <row r="383" spans="3:9" ht="18" customHeight="1" x14ac:dyDescent="0.3">
      <c r="C383"/>
      <c r="I383"/>
    </row>
    <row r="384" spans="3:9" ht="18" customHeight="1" x14ac:dyDescent="0.3">
      <c r="C384"/>
      <c r="I384"/>
    </row>
    <row r="385" spans="3:9" ht="18" customHeight="1" x14ac:dyDescent="0.3">
      <c r="C385"/>
      <c r="I385"/>
    </row>
    <row r="386" spans="3:9" ht="18" customHeight="1" x14ac:dyDescent="0.3">
      <c r="C386"/>
      <c r="I386"/>
    </row>
    <row r="387" spans="3:9" ht="18" customHeight="1" x14ac:dyDescent="0.3">
      <c r="C387"/>
      <c r="I387"/>
    </row>
    <row r="388" spans="3:9" ht="18" customHeight="1" x14ac:dyDescent="0.3">
      <c r="C388"/>
      <c r="I388"/>
    </row>
    <row r="389" spans="3:9" ht="18" customHeight="1" x14ac:dyDescent="0.3">
      <c r="C389"/>
      <c r="I389"/>
    </row>
    <row r="390" spans="3:9" ht="18" customHeight="1" x14ac:dyDescent="0.3">
      <c r="C390"/>
      <c r="I390"/>
    </row>
    <row r="391" spans="3:9" ht="18" customHeight="1" x14ac:dyDescent="0.3">
      <c r="C391"/>
      <c r="I391"/>
    </row>
    <row r="392" spans="3:9" ht="18" customHeight="1" x14ac:dyDescent="0.3">
      <c r="C392"/>
      <c r="I392"/>
    </row>
    <row r="393" spans="3:9" ht="18" customHeight="1" x14ac:dyDescent="0.3">
      <c r="C393"/>
      <c r="I393"/>
    </row>
    <row r="394" spans="3:9" ht="18" customHeight="1" x14ac:dyDescent="0.3">
      <c r="C394"/>
      <c r="I394"/>
    </row>
    <row r="395" spans="3:9" ht="18" customHeight="1" x14ac:dyDescent="0.3">
      <c r="C395"/>
      <c r="I395"/>
    </row>
    <row r="396" spans="3:9" ht="18" customHeight="1" x14ac:dyDescent="0.3">
      <c r="C396"/>
      <c r="I396"/>
    </row>
    <row r="397" spans="3:9" ht="18" customHeight="1" x14ac:dyDescent="0.3">
      <c r="C397"/>
      <c r="I397"/>
    </row>
    <row r="398" spans="3:9" ht="18" customHeight="1" x14ac:dyDescent="0.3">
      <c r="C398"/>
      <c r="I398"/>
    </row>
    <row r="399" spans="3:9" ht="18" customHeight="1" x14ac:dyDescent="0.3">
      <c r="C399"/>
      <c r="I399"/>
    </row>
    <row r="400" spans="3:9" ht="18" customHeight="1" x14ac:dyDescent="0.3">
      <c r="C400"/>
      <c r="I400"/>
    </row>
    <row r="401" spans="3:9" ht="18" customHeight="1" x14ac:dyDescent="0.3">
      <c r="C401"/>
      <c r="I401"/>
    </row>
    <row r="402" spans="3:9" ht="18" customHeight="1" x14ac:dyDescent="0.3">
      <c r="C402"/>
      <c r="I402"/>
    </row>
    <row r="403" spans="3:9" ht="18" customHeight="1" x14ac:dyDescent="0.3">
      <c r="C403"/>
      <c r="I403"/>
    </row>
    <row r="404" spans="3:9" ht="18" customHeight="1" x14ac:dyDescent="0.3">
      <c r="C404"/>
      <c r="I404"/>
    </row>
    <row r="405" spans="3:9" ht="18" customHeight="1" x14ac:dyDescent="0.3">
      <c r="C405"/>
      <c r="I405"/>
    </row>
    <row r="406" spans="3:9" ht="18" customHeight="1" x14ac:dyDescent="0.3">
      <c r="C406"/>
      <c r="I406"/>
    </row>
    <row r="407" spans="3:9" ht="18" customHeight="1" x14ac:dyDescent="0.3">
      <c r="C407"/>
      <c r="I407"/>
    </row>
    <row r="408" spans="3:9" ht="18" customHeight="1" x14ac:dyDescent="0.3">
      <c r="C408"/>
      <c r="I408"/>
    </row>
    <row r="409" spans="3:9" ht="18" customHeight="1" x14ac:dyDescent="0.3">
      <c r="C409"/>
      <c r="I409"/>
    </row>
    <row r="410" spans="3:9" ht="18" customHeight="1" x14ac:dyDescent="0.3">
      <c r="C410"/>
      <c r="I410"/>
    </row>
    <row r="411" spans="3:9" ht="18" customHeight="1" x14ac:dyDescent="0.3">
      <c r="C411"/>
      <c r="I411"/>
    </row>
    <row r="412" spans="3:9" ht="18" customHeight="1" x14ac:dyDescent="0.3">
      <c r="C412"/>
      <c r="I412"/>
    </row>
    <row r="413" spans="3:9" ht="18" customHeight="1" x14ac:dyDescent="0.3">
      <c r="C413"/>
      <c r="I413"/>
    </row>
    <row r="414" spans="3:9" ht="18" customHeight="1" x14ac:dyDescent="0.3">
      <c r="C414"/>
      <c r="I414"/>
    </row>
    <row r="415" spans="3:9" ht="18" customHeight="1" x14ac:dyDescent="0.3">
      <c r="C415"/>
      <c r="I415"/>
    </row>
    <row r="416" spans="3:9" ht="18" customHeight="1" x14ac:dyDescent="0.3">
      <c r="C416"/>
      <c r="I416"/>
    </row>
    <row r="417" spans="3:9" ht="18" customHeight="1" x14ac:dyDescent="0.3">
      <c r="C417"/>
      <c r="I417"/>
    </row>
    <row r="418" spans="3:9" ht="18" customHeight="1" x14ac:dyDescent="0.3">
      <c r="C418"/>
      <c r="I418"/>
    </row>
    <row r="419" spans="3:9" ht="18" customHeight="1" x14ac:dyDescent="0.3">
      <c r="C419"/>
      <c r="I419"/>
    </row>
    <row r="420" spans="3:9" ht="18" customHeight="1" x14ac:dyDescent="0.3">
      <c r="C420"/>
      <c r="I420"/>
    </row>
    <row r="421" spans="3:9" ht="18" customHeight="1" x14ac:dyDescent="0.3">
      <c r="C421"/>
      <c r="I421"/>
    </row>
    <row r="422" spans="3:9" ht="18" customHeight="1" x14ac:dyDescent="0.3">
      <c r="C422"/>
      <c r="I422"/>
    </row>
    <row r="423" spans="3:9" ht="18" customHeight="1" x14ac:dyDescent="0.3">
      <c r="C423"/>
      <c r="I423"/>
    </row>
    <row r="424" spans="3:9" ht="18" customHeight="1" x14ac:dyDescent="0.3">
      <c r="C424"/>
      <c r="I424"/>
    </row>
    <row r="425" spans="3:9" ht="18" customHeight="1" x14ac:dyDescent="0.3">
      <c r="C425"/>
      <c r="I425"/>
    </row>
    <row r="426" spans="3:9" ht="18" customHeight="1" x14ac:dyDescent="0.3">
      <c r="C426"/>
      <c r="I426"/>
    </row>
    <row r="427" spans="3:9" ht="18" customHeight="1" x14ac:dyDescent="0.3">
      <c r="C427"/>
      <c r="I427"/>
    </row>
    <row r="428" spans="3:9" ht="18" customHeight="1" x14ac:dyDescent="0.3">
      <c r="C428"/>
      <c r="I428"/>
    </row>
    <row r="429" spans="3:9" ht="18" customHeight="1" x14ac:dyDescent="0.3">
      <c r="C429"/>
      <c r="I429"/>
    </row>
    <row r="430" spans="3:9" ht="18" customHeight="1" x14ac:dyDescent="0.3">
      <c r="C430"/>
      <c r="I430"/>
    </row>
    <row r="431" spans="3:9" ht="18" customHeight="1" x14ac:dyDescent="0.3">
      <c r="C431"/>
      <c r="I431"/>
    </row>
    <row r="432" spans="3:9" ht="18" customHeight="1" x14ac:dyDescent="0.3">
      <c r="C432"/>
      <c r="I432"/>
    </row>
    <row r="433" spans="3:9" ht="18" customHeight="1" x14ac:dyDescent="0.3">
      <c r="C433"/>
      <c r="I433"/>
    </row>
    <row r="434" spans="3:9" ht="18" customHeight="1" x14ac:dyDescent="0.3">
      <c r="C434"/>
      <c r="I434"/>
    </row>
    <row r="435" spans="3:9" ht="18" customHeight="1" x14ac:dyDescent="0.3">
      <c r="C435"/>
      <c r="I435"/>
    </row>
    <row r="436" spans="3:9" ht="18" customHeight="1" x14ac:dyDescent="0.3">
      <c r="C436"/>
      <c r="I436"/>
    </row>
    <row r="437" spans="3:9" ht="18" customHeight="1" x14ac:dyDescent="0.3">
      <c r="C437"/>
      <c r="I437"/>
    </row>
    <row r="438" spans="3:9" ht="18" customHeight="1" x14ac:dyDescent="0.3">
      <c r="C438"/>
      <c r="I438"/>
    </row>
    <row r="439" spans="3:9" ht="18" customHeight="1" x14ac:dyDescent="0.3">
      <c r="C439"/>
      <c r="I439"/>
    </row>
    <row r="440" spans="3:9" ht="18" customHeight="1" x14ac:dyDescent="0.3">
      <c r="C440"/>
      <c r="I440"/>
    </row>
    <row r="441" spans="3:9" ht="18" customHeight="1" x14ac:dyDescent="0.3">
      <c r="C441"/>
      <c r="I441"/>
    </row>
    <row r="442" spans="3:9" ht="18" customHeight="1" x14ac:dyDescent="0.3">
      <c r="C442"/>
      <c r="I442"/>
    </row>
    <row r="443" spans="3:9" ht="18" customHeight="1" x14ac:dyDescent="0.3">
      <c r="C443"/>
      <c r="I443"/>
    </row>
    <row r="444" spans="3:9" ht="18" customHeight="1" x14ac:dyDescent="0.3">
      <c r="C444"/>
      <c r="I444"/>
    </row>
    <row r="445" spans="3:9" ht="18" customHeight="1" x14ac:dyDescent="0.3">
      <c r="C445"/>
      <c r="I445"/>
    </row>
    <row r="446" spans="3:9" ht="18" customHeight="1" x14ac:dyDescent="0.3">
      <c r="C446"/>
      <c r="I446"/>
    </row>
    <row r="447" spans="3:9" ht="18" customHeight="1" x14ac:dyDescent="0.3">
      <c r="C447"/>
      <c r="I447"/>
    </row>
    <row r="448" spans="3:9" ht="18" customHeight="1" x14ac:dyDescent="0.3">
      <c r="C448"/>
      <c r="I448"/>
    </row>
    <row r="449" spans="3:9" ht="18" customHeight="1" x14ac:dyDescent="0.3">
      <c r="C449"/>
      <c r="I449"/>
    </row>
    <row r="450" spans="3:9" ht="18" customHeight="1" x14ac:dyDescent="0.3">
      <c r="C450"/>
      <c r="I450"/>
    </row>
    <row r="451" spans="3:9" ht="18" customHeight="1" x14ac:dyDescent="0.3">
      <c r="C451"/>
      <c r="I451"/>
    </row>
    <row r="452" spans="3:9" ht="18" customHeight="1" x14ac:dyDescent="0.3">
      <c r="C452"/>
      <c r="I452"/>
    </row>
    <row r="453" spans="3:9" ht="18" customHeight="1" x14ac:dyDescent="0.3">
      <c r="C453"/>
      <c r="I453"/>
    </row>
    <row r="454" spans="3:9" ht="18" customHeight="1" x14ac:dyDescent="0.3">
      <c r="C454"/>
      <c r="I454"/>
    </row>
    <row r="455" spans="3:9" ht="18" customHeight="1" x14ac:dyDescent="0.3">
      <c r="C455"/>
      <c r="I455"/>
    </row>
    <row r="456" spans="3:9" ht="18" customHeight="1" x14ac:dyDescent="0.3">
      <c r="C456"/>
      <c r="I456"/>
    </row>
    <row r="457" spans="3:9" ht="18" customHeight="1" x14ac:dyDescent="0.3">
      <c r="C457"/>
      <c r="I457"/>
    </row>
    <row r="458" spans="3:9" ht="18" customHeight="1" x14ac:dyDescent="0.3">
      <c r="C458"/>
      <c r="I458"/>
    </row>
    <row r="459" spans="3:9" ht="18" customHeight="1" x14ac:dyDescent="0.3">
      <c r="C459"/>
      <c r="I459"/>
    </row>
    <row r="460" spans="3:9" ht="18" customHeight="1" x14ac:dyDescent="0.3">
      <c r="C460"/>
      <c r="I460"/>
    </row>
    <row r="461" spans="3:9" ht="18" customHeight="1" x14ac:dyDescent="0.3">
      <c r="C461"/>
      <c r="I461"/>
    </row>
    <row r="462" spans="3:9" ht="18" customHeight="1" x14ac:dyDescent="0.3">
      <c r="C462"/>
      <c r="I462"/>
    </row>
    <row r="463" spans="3:9" ht="18" customHeight="1" x14ac:dyDescent="0.3">
      <c r="C463"/>
      <c r="I463"/>
    </row>
    <row r="464" spans="3:9" ht="18" customHeight="1" x14ac:dyDescent="0.3">
      <c r="C464"/>
      <c r="I464"/>
    </row>
    <row r="465" spans="3:9" ht="18" customHeight="1" x14ac:dyDescent="0.3">
      <c r="C465"/>
      <c r="I465"/>
    </row>
    <row r="466" spans="3:9" ht="18" customHeight="1" x14ac:dyDescent="0.3">
      <c r="C466"/>
      <c r="I466"/>
    </row>
    <row r="467" spans="3:9" ht="18" customHeight="1" x14ac:dyDescent="0.3">
      <c r="C467"/>
      <c r="I467"/>
    </row>
    <row r="468" spans="3:9" ht="18" customHeight="1" x14ac:dyDescent="0.3">
      <c r="C468"/>
      <c r="I468"/>
    </row>
    <row r="469" spans="3:9" ht="18" customHeight="1" x14ac:dyDescent="0.3">
      <c r="C469"/>
      <c r="I469"/>
    </row>
    <row r="470" spans="3:9" ht="18" customHeight="1" x14ac:dyDescent="0.3">
      <c r="C470"/>
      <c r="I470"/>
    </row>
    <row r="471" spans="3:9" ht="18" customHeight="1" x14ac:dyDescent="0.3">
      <c r="C471"/>
      <c r="I471"/>
    </row>
    <row r="472" spans="3:9" ht="18" customHeight="1" x14ac:dyDescent="0.3">
      <c r="C472"/>
      <c r="I472"/>
    </row>
    <row r="473" spans="3:9" ht="18" customHeight="1" x14ac:dyDescent="0.3">
      <c r="C473"/>
      <c r="I473"/>
    </row>
    <row r="474" spans="3:9" ht="18" customHeight="1" x14ac:dyDescent="0.3">
      <c r="C474"/>
      <c r="I474"/>
    </row>
    <row r="475" spans="3:9" ht="18" customHeight="1" x14ac:dyDescent="0.3">
      <c r="C475"/>
      <c r="I475"/>
    </row>
    <row r="476" spans="3:9" ht="18" customHeight="1" x14ac:dyDescent="0.3">
      <c r="C476"/>
      <c r="I476"/>
    </row>
    <row r="477" spans="3:9" ht="18" customHeight="1" x14ac:dyDescent="0.3">
      <c r="C477"/>
      <c r="I477"/>
    </row>
    <row r="478" spans="3:9" ht="18" customHeight="1" x14ac:dyDescent="0.3">
      <c r="C478"/>
      <c r="I478"/>
    </row>
    <row r="479" spans="3:9" ht="18" customHeight="1" x14ac:dyDescent="0.3">
      <c r="C479"/>
      <c r="I479"/>
    </row>
    <row r="480" spans="3:9" ht="18" customHeight="1" x14ac:dyDescent="0.3">
      <c r="C480"/>
      <c r="I480"/>
    </row>
    <row r="481" spans="3:9" ht="18" customHeight="1" x14ac:dyDescent="0.3">
      <c r="C481"/>
      <c r="I481"/>
    </row>
    <row r="482" spans="3:9" ht="18" customHeight="1" x14ac:dyDescent="0.3">
      <c r="C482"/>
      <c r="I482"/>
    </row>
    <row r="483" spans="3:9" ht="18" customHeight="1" x14ac:dyDescent="0.3">
      <c r="C483"/>
      <c r="I483"/>
    </row>
    <row r="484" spans="3:9" ht="18" customHeight="1" x14ac:dyDescent="0.3">
      <c r="C484"/>
      <c r="I484"/>
    </row>
    <row r="485" spans="3:9" ht="18" customHeight="1" x14ac:dyDescent="0.3">
      <c r="C485"/>
      <c r="I485"/>
    </row>
    <row r="486" spans="3:9" ht="18" customHeight="1" x14ac:dyDescent="0.3">
      <c r="C486"/>
      <c r="I486"/>
    </row>
    <row r="487" spans="3:9" ht="18" customHeight="1" x14ac:dyDescent="0.3">
      <c r="C487"/>
      <c r="I487"/>
    </row>
    <row r="488" spans="3:9" ht="18" customHeight="1" x14ac:dyDescent="0.3">
      <c r="C488"/>
      <c r="I488"/>
    </row>
    <row r="489" spans="3:9" ht="18" customHeight="1" x14ac:dyDescent="0.3">
      <c r="C489"/>
      <c r="I489"/>
    </row>
    <row r="490" spans="3:9" ht="18" customHeight="1" x14ac:dyDescent="0.3">
      <c r="C490"/>
      <c r="I490"/>
    </row>
    <row r="491" spans="3:9" ht="18" customHeight="1" x14ac:dyDescent="0.3">
      <c r="C491"/>
      <c r="I491"/>
    </row>
    <row r="492" spans="3:9" ht="18" customHeight="1" x14ac:dyDescent="0.3">
      <c r="C492"/>
      <c r="I492"/>
    </row>
    <row r="493" spans="3:9" ht="18" customHeight="1" x14ac:dyDescent="0.3">
      <c r="C493"/>
      <c r="I493"/>
    </row>
    <row r="494" spans="3:9" ht="18" customHeight="1" x14ac:dyDescent="0.3">
      <c r="C494"/>
      <c r="I494"/>
    </row>
    <row r="495" spans="3:9" ht="18" customHeight="1" x14ac:dyDescent="0.3">
      <c r="C495"/>
      <c r="I495"/>
    </row>
    <row r="496" spans="3:9" ht="18" customHeight="1" x14ac:dyDescent="0.3">
      <c r="C496"/>
      <c r="I496"/>
    </row>
    <row r="497" spans="3:9" ht="18" customHeight="1" x14ac:dyDescent="0.3">
      <c r="C497"/>
      <c r="I497"/>
    </row>
    <row r="498" spans="3:9" ht="18" customHeight="1" x14ac:dyDescent="0.3">
      <c r="C498"/>
      <c r="I498"/>
    </row>
    <row r="499" spans="3:9" ht="18" customHeight="1" x14ac:dyDescent="0.3">
      <c r="C499"/>
      <c r="I499"/>
    </row>
    <row r="500" spans="3:9" ht="18" customHeight="1" x14ac:dyDescent="0.3">
      <c r="C500"/>
      <c r="I500"/>
    </row>
    <row r="501" spans="3:9" ht="18" customHeight="1" x14ac:dyDescent="0.3">
      <c r="C501"/>
      <c r="I501"/>
    </row>
    <row r="502" spans="3:9" ht="18" customHeight="1" x14ac:dyDescent="0.3">
      <c r="C502"/>
      <c r="I502"/>
    </row>
    <row r="503" spans="3:9" ht="18" customHeight="1" x14ac:dyDescent="0.3">
      <c r="C503"/>
      <c r="I503"/>
    </row>
    <row r="504" spans="3:9" ht="18" customHeight="1" x14ac:dyDescent="0.3">
      <c r="C504"/>
      <c r="I504"/>
    </row>
    <row r="505" spans="3:9" ht="18" customHeight="1" x14ac:dyDescent="0.3">
      <c r="C505"/>
      <c r="I505"/>
    </row>
    <row r="506" spans="3:9" ht="18" customHeight="1" x14ac:dyDescent="0.3">
      <c r="C506"/>
      <c r="I506"/>
    </row>
    <row r="507" spans="3:9" ht="18" customHeight="1" x14ac:dyDescent="0.3">
      <c r="C507"/>
      <c r="I507"/>
    </row>
    <row r="508" spans="3:9" ht="18" customHeight="1" x14ac:dyDescent="0.3">
      <c r="C508"/>
      <c r="I508"/>
    </row>
    <row r="509" spans="3:9" ht="18" customHeight="1" x14ac:dyDescent="0.3">
      <c r="C509"/>
      <c r="I509"/>
    </row>
    <row r="510" spans="3:9" ht="18" customHeight="1" x14ac:dyDescent="0.3">
      <c r="C510"/>
      <c r="I510"/>
    </row>
    <row r="511" spans="3:9" ht="18" customHeight="1" x14ac:dyDescent="0.3">
      <c r="C511"/>
      <c r="I511"/>
    </row>
    <row r="512" spans="3:9" ht="18" customHeight="1" x14ac:dyDescent="0.3">
      <c r="C512"/>
      <c r="I512"/>
    </row>
    <row r="513" spans="3:9" ht="18" customHeight="1" x14ac:dyDescent="0.3">
      <c r="C513"/>
      <c r="I513"/>
    </row>
    <row r="514" spans="3:9" ht="18" customHeight="1" x14ac:dyDescent="0.3">
      <c r="C514"/>
      <c r="I514"/>
    </row>
    <row r="515" spans="3:9" ht="18" customHeight="1" x14ac:dyDescent="0.3">
      <c r="C515"/>
      <c r="I515"/>
    </row>
    <row r="516" spans="3:9" ht="18" customHeight="1" x14ac:dyDescent="0.3">
      <c r="C516"/>
      <c r="I516"/>
    </row>
    <row r="517" spans="3:9" ht="18" customHeight="1" x14ac:dyDescent="0.3">
      <c r="C517"/>
      <c r="I517"/>
    </row>
    <row r="518" spans="3:9" ht="18" customHeight="1" x14ac:dyDescent="0.3">
      <c r="C518"/>
      <c r="I518"/>
    </row>
    <row r="519" spans="3:9" ht="18" customHeight="1" x14ac:dyDescent="0.3">
      <c r="C519"/>
      <c r="I519"/>
    </row>
    <row r="520" spans="3:9" ht="18" customHeight="1" x14ac:dyDescent="0.3">
      <c r="C520"/>
      <c r="I520"/>
    </row>
    <row r="521" spans="3:9" ht="18" customHeight="1" x14ac:dyDescent="0.3">
      <c r="C521"/>
      <c r="I521"/>
    </row>
    <row r="522" spans="3:9" ht="18" customHeight="1" x14ac:dyDescent="0.3">
      <c r="C522"/>
      <c r="I522"/>
    </row>
    <row r="523" spans="3:9" ht="18" customHeight="1" x14ac:dyDescent="0.3">
      <c r="C523"/>
      <c r="I523"/>
    </row>
    <row r="524" spans="3:9" ht="18" customHeight="1" x14ac:dyDescent="0.3">
      <c r="C524"/>
      <c r="I524"/>
    </row>
    <row r="525" spans="3:9" ht="18" customHeight="1" x14ac:dyDescent="0.3">
      <c r="C525"/>
      <c r="I525"/>
    </row>
    <row r="526" spans="3:9" ht="18" customHeight="1" x14ac:dyDescent="0.3">
      <c r="C526"/>
      <c r="I526"/>
    </row>
    <row r="527" spans="3:9" ht="18" customHeight="1" x14ac:dyDescent="0.3">
      <c r="C527"/>
      <c r="I527"/>
    </row>
    <row r="528" spans="3:9" ht="18" customHeight="1" x14ac:dyDescent="0.3">
      <c r="C528"/>
      <c r="I528"/>
    </row>
    <row r="529" spans="3:9" ht="18" customHeight="1" x14ac:dyDescent="0.3">
      <c r="C529"/>
      <c r="I529"/>
    </row>
    <row r="530" spans="3:9" ht="18" customHeight="1" x14ac:dyDescent="0.3">
      <c r="C530"/>
      <c r="I530"/>
    </row>
    <row r="531" spans="3:9" ht="18" customHeight="1" x14ac:dyDescent="0.3">
      <c r="C531"/>
      <c r="I531"/>
    </row>
    <row r="532" spans="3:9" ht="18" customHeight="1" x14ac:dyDescent="0.3">
      <c r="C532"/>
      <c r="I532"/>
    </row>
    <row r="533" spans="3:9" ht="18" customHeight="1" x14ac:dyDescent="0.3">
      <c r="C533"/>
      <c r="I533"/>
    </row>
    <row r="534" spans="3:9" ht="18" customHeight="1" x14ac:dyDescent="0.3">
      <c r="C534"/>
      <c r="I534"/>
    </row>
    <row r="535" spans="3:9" ht="18" customHeight="1" x14ac:dyDescent="0.3">
      <c r="C535"/>
      <c r="I535"/>
    </row>
    <row r="536" spans="3:9" ht="18" customHeight="1" x14ac:dyDescent="0.3">
      <c r="C536"/>
      <c r="I536"/>
    </row>
    <row r="537" spans="3:9" ht="18" customHeight="1" x14ac:dyDescent="0.3">
      <c r="C537"/>
      <c r="I537"/>
    </row>
    <row r="538" spans="3:9" ht="18" customHeight="1" x14ac:dyDescent="0.3">
      <c r="C538"/>
      <c r="I538"/>
    </row>
    <row r="539" spans="3:9" ht="18" customHeight="1" x14ac:dyDescent="0.3">
      <c r="C539"/>
      <c r="I539"/>
    </row>
    <row r="540" spans="3:9" ht="18" customHeight="1" x14ac:dyDescent="0.3">
      <c r="C540"/>
      <c r="I540"/>
    </row>
    <row r="541" spans="3:9" ht="18" customHeight="1" x14ac:dyDescent="0.3">
      <c r="C541"/>
      <c r="I541"/>
    </row>
    <row r="542" spans="3:9" ht="18" customHeight="1" x14ac:dyDescent="0.3">
      <c r="C542"/>
      <c r="I542"/>
    </row>
    <row r="543" spans="3:9" ht="18" customHeight="1" x14ac:dyDescent="0.3">
      <c r="C543"/>
      <c r="I543"/>
    </row>
    <row r="544" spans="3:9" ht="18" customHeight="1" x14ac:dyDescent="0.3">
      <c r="C544"/>
      <c r="I544"/>
    </row>
    <row r="545" spans="3:9" ht="18" customHeight="1" x14ac:dyDescent="0.3">
      <c r="C545"/>
      <c r="I545"/>
    </row>
    <row r="546" spans="3:9" ht="18" customHeight="1" x14ac:dyDescent="0.3">
      <c r="C546"/>
      <c r="I546"/>
    </row>
    <row r="547" spans="3:9" ht="18" customHeight="1" x14ac:dyDescent="0.3">
      <c r="C547"/>
      <c r="I547"/>
    </row>
    <row r="548" spans="3:9" ht="18" customHeight="1" x14ac:dyDescent="0.3">
      <c r="C548"/>
      <c r="I548"/>
    </row>
    <row r="549" spans="3:9" ht="18" customHeight="1" x14ac:dyDescent="0.3">
      <c r="C549"/>
      <c r="I549"/>
    </row>
    <row r="550" spans="3:9" ht="18" customHeight="1" x14ac:dyDescent="0.3">
      <c r="C550"/>
      <c r="I550"/>
    </row>
    <row r="551" spans="3:9" ht="18" customHeight="1" x14ac:dyDescent="0.3">
      <c r="C551"/>
      <c r="I551"/>
    </row>
    <row r="552" spans="3:9" ht="18" customHeight="1" x14ac:dyDescent="0.3">
      <c r="C552"/>
      <c r="I552"/>
    </row>
    <row r="553" spans="3:9" ht="18" customHeight="1" x14ac:dyDescent="0.3">
      <c r="C553"/>
      <c r="I553"/>
    </row>
    <row r="554" spans="3:9" ht="18" customHeight="1" x14ac:dyDescent="0.3">
      <c r="C554"/>
      <c r="I554"/>
    </row>
    <row r="555" spans="3:9" ht="18" customHeight="1" x14ac:dyDescent="0.3">
      <c r="C555"/>
      <c r="I555"/>
    </row>
    <row r="556" spans="3:9" ht="18" customHeight="1" x14ac:dyDescent="0.3">
      <c r="C556"/>
      <c r="I556"/>
    </row>
    <row r="557" spans="3:9" ht="18" customHeight="1" x14ac:dyDescent="0.3">
      <c r="C557"/>
      <c r="I557"/>
    </row>
    <row r="558" spans="3:9" ht="18" customHeight="1" x14ac:dyDescent="0.3">
      <c r="C558"/>
      <c r="I558"/>
    </row>
    <row r="559" spans="3:9" ht="18" customHeight="1" x14ac:dyDescent="0.3">
      <c r="C559"/>
      <c r="I559"/>
    </row>
    <row r="560" spans="3:9" ht="18" customHeight="1" x14ac:dyDescent="0.3">
      <c r="C560"/>
      <c r="I560"/>
    </row>
    <row r="561" spans="3:9" ht="18" customHeight="1" x14ac:dyDescent="0.3">
      <c r="C561"/>
      <c r="I561"/>
    </row>
    <row r="562" spans="3:9" ht="18" customHeight="1" x14ac:dyDescent="0.3">
      <c r="C562"/>
      <c r="I562"/>
    </row>
    <row r="563" spans="3:9" ht="18" customHeight="1" x14ac:dyDescent="0.3">
      <c r="C563"/>
      <c r="I563"/>
    </row>
    <row r="564" spans="3:9" ht="18" customHeight="1" x14ac:dyDescent="0.3">
      <c r="C564"/>
      <c r="I564"/>
    </row>
    <row r="565" spans="3:9" ht="18" customHeight="1" x14ac:dyDescent="0.3">
      <c r="C565"/>
      <c r="I565"/>
    </row>
    <row r="566" spans="3:9" ht="18" customHeight="1" x14ac:dyDescent="0.3">
      <c r="C566"/>
      <c r="I566"/>
    </row>
    <row r="567" spans="3:9" ht="18" customHeight="1" x14ac:dyDescent="0.3">
      <c r="C567"/>
      <c r="I567"/>
    </row>
    <row r="568" spans="3:9" ht="18" customHeight="1" x14ac:dyDescent="0.3">
      <c r="C568"/>
      <c r="I568"/>
    </row>
    <row r="569" spans="3:9" ht="18" customHeight="1" x14ac:dyDescent="0.3">
      <c r="C569"/>
      <c r="I569"/>
    </row>
    <row r="570" spans="3:9" ht="18" customHeight="1" x14ac:dyDescent="0.3">
      <c r="C570"/>
      <c r="I570"/>
    </row>
    <row r="571" spans="3:9" ht="18" customHeight="1" x14ac:dyDescent="0.3">
      <c r="C571"/>
      <c r="I571"/>
    </row>
    <row r="572" spans="3:9" ht="18" customHeight="1" x14ac:dyDescent="0.3">
      <c r="C572"/>
      <c r="I572"/>
    </row>
    <row r="573" spans="3:9" ht="18" customHeight="1" x14ac:dyDescent="0.3">
      <c r="C573"/>
      <c r="I573"/>
    </row>
    <row r="574" spans="3:9" ht="18" customHeight="1" x14ac:dyDescent="0.3">
      <c r="C574"/>
      <c r="I574"/>
    </row>
    <row r="575" spans="3:9" ht="18" customHeight="1" x14ac:dyDescent="0.3">
      <c r="C575"/>
      <c r="I575"/>
    </row>
    <row r="576" spans="3:9" ht="18" customHeight="1" x14ac:dyDescent="0.3">
      <c r="C576"/>
      <c r="I576"/>
    </row>
    <row r="577" spans="3:9" ht="18" customHeight="1" x14ac:dyDescent="0.3">
      <c r="C577"/>
      <c r="I577"/>
    </row>
    <row r="578" spans="3:9" ht="18" customHeight="1" x14ac:dyDescent="0.3">
      <c r="C578"/>
      <c r="I578"/>
    </row>
    <row r="579" spans="3:9" ht="18" customHeight="1" x14ac:dyDescent="0.3">
      <c r="C579"/>
      <c r="I579"/>
    </row>
    <row r="580" spans="3:9" ht="18" customHeight="1" x14ac:dyDescent="0.3">
      <c r="C580"/>
      <c r="I580"/>
    </row>
    <row r="581" spans="3:9" ht="18" customHeight="1" x14ac:dyDescent="0.3">
      <c r="C581"/>
      <c r="I581"/>
    </row>
    <row r="582" spans="3:9" ht="18" customHeight="1" x14ac:dyDescent="0.3">
      <c r="C582"/>
      <c r="I582"/>
    </row>
    <row r="583" spans="3:9" ht="18" customHeight="1" x14ac:dyDescent="0.3">
      <c r="C583"/>
      <c r="I583"/>
    </row>
    <row r="584" spans="3:9" ht="18" customHeight="1" x14ac:dyDescent="0.3">
      <c r="C584"/>
      <c r="I584"/>
    </row>
    <row r="585" spans="3:9" ht="18" customHeight="1" x14ac:dyDescent="0.3">
      <c r="C585"/>
      <c r="I585"/>
    </row>
    <row r="586" spans="3:9" ht="18" customHeight="1" x14ac:dyDescent="0.3">
      <c r="C586"/>
      <c r="I586"/>
    </row>
    <row r="587" spans="3:9" ht="18" customHeight="1" x14ac:dyDescent="0.3">
      <c r="C587"/>
      <c r="I587"/>
    </row>
    <row r="588" spans="3:9" ht="18" customHeight="1" x14ac:dyDescent="0.3">
      <c r="C588"/>
      <c r="I588"/>
    </row>
    <row r="589" spans="3:9" ht="18" customHeight="1" x14ac:dyDescent="0.3">
      <c r="C589"/>
      <c r="I589"/>
    </row>
    <row r="590" spans="3:9" ht="18" customHeight="1" x14ac:dyDescent="0.3">
      <c r="C590"/>
      <c r="I590"/>
    </row>
    <row r="591" spans="3:9" ht="18" customHeight="1" x14ac:dyDescent="0.3">
      <c r="C591"/>
      <c r="I591"/>
    </row>
    <row r="592" spans="3:9" ht="18" customHeight="1" x14ac:dyDescent="0.3">
      <c r="C592"/>
      <c r="I592"/>
    </row>
    <row r="593" spans="3:9" ht="18" customHeight="1" x14ac:dyDescent="0.3">
      <c r="C593"/>
      <c r="I593"/>
    </row>
    <row r="594" spans="3:9" ht="18" customHeight="1" x14ac:dyDescent="0.3">
      <c r="C594"/>
      <c r="I594"/>
    </row>
    <row r="595" spans="3:9" ht="18" customHeight="1" x14ac:dyDescent="0.3">
      <c r="C595"/>
      <c r="I595"/>
    </row>
    <row r="596" spans="3:9" ht="18" customHeight="1" x14ac:dyDescent="0.3">
      <c r="C596"/>
      <c r="I596"/>
    </row>
    <row r="597" spans="3:9" ht="18" customHeight="1" x14ac:dyDescent="0.3">
      <c r="C597"/>
      <c r="I597"/>
    </row>
    <row r="598" spans="3:9" ht="18" customHeight="1" x14ac:dyDescent="0.3">
      <c r="C598"/>
      <c r="I598"/>
    </row>
    <row r="599" spans="3:9" ht="18" customHeight="1" x14ac:dyDescent="0.3">
      <c r="C599"/>
      <c r="I599"/>
    </row>
    <row r="600" spans="3:9" ht="18" customHeight="1" x14ac:dyDescent="0.3">
      <c r="C600"/>
      <c r="I600"/>
    </row>
    <row r="601" spans="3:9" ht="18" customHeight="1" x14ac:dyDescent="0.3">
      <c r="C601"/>
      <c r="I601"/>
    </row>
    <row r="602" spans="3:9" ht="18" customHeight="1" x14ac:dyDescent="0.3">
      <c r="C602"/>
      <c r="I602"/>
    </row>
    <row r="603" spans="3:9" ht="18" customHeight="1" x14ac:dyDescent="0.3">
      <c r="C603"/>
      <c r="I603"/>
    </row>
    <row r="604" spans="3:9" ht="18" customHeight="1" x14ac:dyDescent="0.3">
      <c r="C604"/>
      <c r="I604"/>
    </row>
    <row r="605" spans="3:9" ht="18" customHeight="1" x14ac:dyDescent="0.3">
      <c r="C605"/>
      <c r="I605"/>
    </row>
    <row r="606" spans="3:9" ht="18" customHeight="1" x14ac:dyDescent="0.3">
      <c r="C606"/>
      <c r="I606"/>
    </row>
    <row r="607" spans="3:9" ht="18" customHeight="1" x14ac:dyDescent="0.3">
      <c r="C607"/>
      <c r="I607"/>
    </row>
    <row r="608" spans="3:9" ht="18" customHeight="1" x14ac:dyDescent="0.3">
      <c r="C608"/>
      <c r="I608"/>
    </row>
    <row r="609" spans="3:9" ht="18" customHeight="1" x14ac:dyDescent="0.3">
      <c r="C609"/>
      <c r="I609"/>
    </row>
    <row r="610" spans="3:9" ht="18" customHeight="1" x14ac:dyDescent="0.3">
      <c r="C610"/>
      <c r="I610"/>
    </row>
    <row r="611" spans="3:9" ht="18" customHeight="1" x14ac:dyDescent="0.3">
      <c r="C611"/>
      <c r="I611"/>
    </row>
    <row r="612" spans="3:9" ht="18" customHeight="1" x14ac:dyDescent="0.3">
      <c r="C612"/>
      <c r="I612"/>
    </row>
    <row r="613" spans="3:9" ht="18" customHeight="1" x14ac:dyDescent="0.3">
      <c r="C613"/>
      <c r="I613"/>
    </row>
    <row r="614" spans="3:9" ht="18" customHeight="1" x14ac:dyDescent="0.3">
      <c r="C614"/>
      <c r="I614"/>
    </row>
    <row r="615" spans="3:9" ht="18" customHeight="1" x14ac:dyDescent="0.3">
      <c r="C615"/>
      <c r="I615"/>
    </row>
    <row r="616" spans="3:9" ht="18" customHeight="1" x14ac:dyDescent="0.3">
      <c r="C616"/>
      <c r="I616"/>
    </row>
    <row r="617" spans="3:9" ht="18" customHeight="1" x14ac:dyDescent="0.3">
      <c r="C617"/>
      <c r="I617"/>
    </row>
    <row r="618" spans="3:9" ht="18" customHeight="1" x14ac:dyDescent="0.3">
      <c r="C618"/>
      <c r="I618"/>
    </row>
    <row r="619" spans="3:9" ht="18" customHeight="1" x14ac:dyDescent="0.3">
      <c r="C619"/>
      <c r="I619"/>
    </row>
    <row r="620" spans="3:9" ht="18" customHeight="1" x14ac:dyDescent="0.3">
      <c r="C620"/>
      <c r="I620"/>
    </row>
    <row r="621" spans="3:9" ht="18" customHeight="1" x14ac:dyDescent="0.3">
      <c r="C621"/>
      <c r="I621"/>
    </row>
    <row r="622" spans="3:9" ht="18" customHeight="1" x14ac:dyDescent="0.3">
      <c r="C622"/>
      <c r="I622"/>
    </row>
    <row r="623" spans="3:9" ht="18" customHeight="1" x14ac:dyDescent="0.3">
      <c r="C623"/>
      <c r="I623"/>
    </row>
    <row r="624" spans="3:9" ht="18" customHeight="1" x14ac:dyDescent="0.3">
      <c r="C624"/>
      <c r="I624"/>
    </row>
    <row r="625" spans="3:9" ht="18" customHeight="1" x14ac:dyDescent="0.3">
      <c r="C625"/>
      <c r="I625"/>
    </row>
    <row r="626" spans="3:9" ht="18" customHeight="1" x14ac:dyDescent="0.3">
      <c r="C626"/>
      <c r="I626"/>
    </row>
    <row r="627" spans="3:9" ht="18" customHeight="1" x14ac:dyDescent="0.3">
      <c r="C627"/>
      <c r="I627"/>
    </row>
    <row r="628" spans="3:9" ht="18" customHeight="1" x14ac:dyDescent="0.3">
      <c r="C628"/>
      <c r="I628"/>
    </row>
    <row r="629" spans="3:9" ht="18" customHeight="1" x14ac:dyDescent="0.3">
      <c r="C629"/>
      <c r="I629"/>
    </row>
    <row r="630" spans="3:9" ht="18" customHeight="1" x14ac:dyDescent="0.3">
      <c r="C630"/>
      <c r="I630"/>
    </row>
    <row r="631" spans="3:9" ht="18" customHeight="1" x14ac:dyDescent="0.3">
      <c r="C631"/>
      <c r="I631"/>
    </row>
    <row r="632" spans="3:9" ht="18" customHeight="1" x14ac:dyDescent="0.3">
      <c r="C632"/>
      <c r="I632"/>
    </row>
    <row r="633" spans="3:9" ht="18" customHeight="1" x14ac:dyDescent="0.3">
      <c r="C633"/>
      <c r="I633"/>
    </row>
    <row r="634" spans="3:9" ht="18" customHeight="1" x14ac:dyDescent="0.3">
      <c r="C634"/>
      <c r="I634"/>
    </row>
    <row r="635" spans="3:9" ht="18" customHeight="1" x14ac:dyDescent="0.3">
      <c r="C635"/>
      <c r="I635"/>
    </row>
    <row r="636" spans="3:9" ht="18" customHeight="1" x14ac:dyDescent="0.3">
      <c r="C636"/>
      <c r="I636"/>
    </row>
    <row r="637" spans="3:9" ht="18" customHeight="1" x14ac:dyDescent="0.3">
      <c r="C637"/>
      <c r="I637"/>
    </row>
    <row r="638" spans="3:9" ht="18" customHeight="1" x14ac:dyDescent="0.3">
      <c r="C638"/>
      <c r="I638"/>
    </row>
    <row r="639" spans="3:9" ht="18" customHeight="1" x14ac:dyDescent="0.3">
      <c r="C639"/>
      <c r="I639"/>
    </row>
    <row r="640" spans="3:9" ht="18" customHeight="1" x14ac:dyDescent="0.3">
      <c r="C640"/>
      <c r="I640"/>
    </row>
    <row r="641" spans="3:9" ht="18" customHeight="1" x14ac:dyDescent="0.3">
      <c r="C641"/>
      <c r="I641"/>
    </row>
    <row r="642" spans="3:9" ht="18" customHeight="1" x14ac:dyDescent="0.3">
      <c r="C642"/>
      <c r="I642"/>
    </row>
    <row r="643" spans="3:9" ht="18" customHeight="1" x14ac:dyDescent="0.3">
      <c r="C643"/>
      <c r="I643"/>
    </row>
    <row r="644" spans="3:9" ht="18" customHeight="1" x14ac:dyDescent="0.3">
      <c r="C644"/>
      <c r="I644"/>
    </row>
    <row r="645" spans="3:9" ht="18" customHeight="1" x14ac:dyDescent="0.3">
      <c r="C645"/>
      <c r="I645"/>
    </row>
    <row r="646" spans="3:9" ht="18" customHeight="1" x14ac:dyDescent="0.3">
      <c r="C646"/>
      <c r="I646"/>
    </row>
    <row r="647" spans="3:9" ht="18" customHeight="1" x14ac:dyDescent="0.3">
      <c r="C647"/>
      <c r="I647"/>
    </row>
    <row r="648" spans="3:9" ht="18" customHeight="1" x14ac:dyDescent="0.3">
      <c r="C648"/>
      <c r="I648"/>
    </row>
    <row r="649" spans="3:9" ht="18" customHeight="1" x14ac:dyDescent="0.3">
      <c r="C649"/>
      <c r="I649"/>
    </row>
    <row r="650" spans="3:9" ht="18" customHeight="1" x14ac:dyDescent="0.3">
      <c r="C650"/>
      <c r="I650"/>
    </row>
    <row r="651" spans="3:9" ht="18" customHeight="1" x14ac:dyDescent="0.3">
      <c r="C651"/>
      <c r="I651"/>
    </row>
    <row r="652" spans="3:9" ht="18" customHeight="1" x14ac:dyDescent="0.3">
      <c r="C652"/>
      <c r="I652"/>
    </row>
    <row r="653" spans="3:9" ht="18" customHeight="1" x14ac:dyDescent="0.3">
      <c r="C653"/>
      <c r="I653"/>
    </row>
    <row r="654" spans="3:9" ht="18" customHeight="1" x14ac:dyDescent="0.3">
      <c r="C654"/>
      <c r="I654"/>
    </row>
    <row r="655" spans="3:9" ht="18" customHeight="1" x14ac:dyDescent="0.3">
      <c r="C655"/>
      <c r="I655"/>
    </row>
    <row r="656" spans="3:9" ht="18" customHeight="1" x14ac:dyDescent="0.3">
      <c r="C656"/>
      <c r="I656"/>
    </row>
    <row r="657" spans="3:9" ht="18" customHeight="1" x14ac:dyDescent="0.3">
      <c r="C657"/>
      <c r="I657"/>
    </row>
    <row r="658" spans="3:9" ht="18" customHeight="1" x14ac:dyDescent="0.3">
      <c r="C658"/>
      <c r="I658"/>
    </row>
    <row r="659" spans="3:9" ht="18" customHeight="1" x14ac:dyDescent="0.3">
      <c r="C659"/>
      <c r="I659"/>
    </row>
    <row r="660" spans="3:9" ht="18" customHeight="1" x14ac:dyDescent="0.3">
      <c r="C660"/>
      <c r="I660"/>
    </row>
    <row r="661" spans="3:9" ht="18" customHeight="1" x14ac:dyDescent="0.3">
      <c r="C661"/>
      <c r="I661"/>
    </row>
    <row r="662" spans="3:9" ht="18" customHeight="1" x14ac:dyDescent="0.3">
      <c r="C662"/>
      <c r="I662"/>
    </row>
    <row r="663" spans="3:9" ht="18" customHeight="1" x14ac:dyDescent="0.3">
      <c r="C663"/>
      <c r="I663"/>
    </row>
    <row r="664" spans="3:9" ht="18" customHeight="1" x14ac:dyDescent="0.3">
      <c r="C664"/>
      <c r="I664"/>
    </row>
    <row r="665" spans="3:9" ht="18" customHeight="1" x14ac:dyDescent="0.3">
      <c r="C665"/>
      <c r="I665"/>
    </row>
    <row r="666" spans="3:9" ht="18" customHeight="1" x14ac:dyDescent="0.3">
      <c r="C666"/>
      <c r="I666"/>
    </row>
    <row r="667" spans="3:9" ht="18" customHeight="1" x14ac:dyDescent="0.3">
      <c r="C667"/>
      <c r="I667"/>
    </row>
    <row r="668" spans="3:9" ht="18" customHeight="1" x14ac:dyDescent="0.3">
      <c r="C668"/>
      <c r="I668"/>
    </row>
    <row r="669" spans="3:9" ht="18" customHeight="1" x14ac:dyDescent="0.3">
      <c r="C669"/>
      <c r="I669"/>
    </row>
    <row r="670" spans="3:9" ht="18" customHeight="1" x14ac:dyDescent="0.3">
      <c r="C670"/>
      <c r="I670"/>
    </row>
    <row r="671" spans="3:9" ht="18" customHeight="1" x14ac:dyDescent="0.3">
      <c r="C671"/>
      <c r="I671"/>
    </row>
    <row r="672" spans="3:9" ht="18" customHeight="1" x14ac:dyDescent="0.3">
      <c r="C672"/>
      <c r="I672"/>
    </row>
    <row r="673" spans="3:9" ht="18" customHeight="1" x14ac:dyDescent="0.3">
      <c r="C673"/>
      <c r="I673"/>
    </row>
    <row r="674" spans="3:9" ht="18" customHeight="1" x14ac:dyDescent="0.3">
      <c r="C674"/>
      <c r="I674"/>
    </row>
    <row r="675" spans="3:9" ht="18" customHeight="1" x14ac:dyDescent="0.3">
      <c r="C675"/>
      <c r="I675"/>
    </row>
    <row r="676" spans="3:9" ht="18" customHeight="1" x14ac:dyDescent="0.3">
      <c r="C676"/>
      <c r="I676"/>
    </row>
    <row r="677" spans="3:9" ht="18" customHeight="1" x14ac:dyDescent="0.3">
      <c r="C677"/>
      <c r="I677"/>
    </row>
    <row r="678" spans="3:9" ht="18" customHeight="1" x14ac:dyDescent="0.3">
      <c r="C678"/>
      <c r="I678"/>
    </row>
    <row r="679" spans="3:9" ht="18" customHeight="1" x14ac:dyDescent="0.3">
      <c r="C679"/>
      <c r="I679"/>
    </row>
    <row r="680" spans="3:9" ht="18" customHeight="1" x14ac:dyDescent="0.3">
      <c r="C680"/>
      <c r="I680"/>
    </row>
    <row r="681" spans="3:9" ht="18" customHeight="1" x14ac:dyDescent="0.3">
      <c r="C681"/>
      <c r="I681"/>
    </row>
    <row r="682" spans="3:9" ht="18" customHeight="1" x14ac:dyDescent="0.3">
      <c r="C682"/>
      <c r="I682"/>
    </row>
    <row r="683" spans="3:9" ht="18" customHeight="1" x14ac:dyDescent="0.3">
      <c r="C683"/>
      <c r="I683"/>
    </row>
    <row r="684" spans="3:9" ht="18" customHeight="1" x14ac:dyDescent="0.3">
      <c r="C684"/>
      <c r="I684"/>
    </row>
    <row r="685" spans="3:9" ht="18" customHeight="1" x14ac:dyDescent="0.3">
      <c r="C685"/>
      <c r="I685"/>
    </row>
    <row r="686" spans="3:9" ht="18" customHeight="1" x14ac:dyDescent="0.3">
      <c r="C686"/>
      <c r="I686"/>
    </row>
    <row r="687" spans="3:9" ht="18" customHeight="1" x14ac:dyDescent="0.3">
      <c r="C687"/>
      <c r="I687"/>
    </row>
    <row r="688" spans="3:9" ht="18" customHeight="1" x14ac:dyDescent="0.3">
      <c r="C688"/>
      <c r="I688"/>
    </row>
    <row r="689" spans="3:9" ht="18" customHeight="1" x14ac:dyDescent="0.3">
      <c r="C689"/>
      <c r="I689"/>
    </row>
    <row r="690" spans="3:9" ht="18" customHeight="1" x14ac:dyDescent="0.3">
      <c r="C690"/>
      <c r="I690"/>
    </row>
    <row r="691" spans="3:9" ht="18" customHeight="1" x14ac:dyDescent="0.3">
      <c r="C691"/>
      <c r="I691"/>
    </row>
    <row r="692" spans="3:9" ht="18" customHeight="1" x14ac:dyDescent="0.3">
      <c r="C692"/>
      <c r="I692"/>
    </row>
    <row r="693" spans="3:9" ht="18" customHeight="1" x14ac:dyDescent="0.3">
      <c r="C693"/>
      <c r="I693"/>
    </row>
    <row r="694" spans="3:9" ht="18" customHeight="1" x14ac:dyDescent="0.3">
      <c r="C694"/>
      <c r="I694"/>
    </row>
    <row r="695" spans="3:9" ht="18" customHeight="1" x14ac:dyDescent="0.3">
      <c r="C695"/>
      <c r="I695"/>
    </row>
    <row r="696" spans="3:9" ht="18" customHeight="1" x14ac:dyDescent="0.3">
      <c r="C696"/>
      <c r="I696"/>
    </row>
    <row r="697" spans="3:9" ht="18" customHeight="1" x14ac:dyDescent="0.3">
      <c r="C697"/>
      <c r="I697"/>
    </row>
    <row r="698" spans="3:9" ht="18" customHeight="1" x14ac:dyDescent="0.3">
      <c r="C698"/>
      <c r="I698"/>
    </row>
    <row r="699" spans="3:9" ht="18" customHeight="1" x14ac:dyDescent="0.3">
      <c r="C699"/>
      <c r="I699"/>
    </row>
    <row r="700" spans="3:9" ht="18" customHeight="1" x14ac:dyDescent="0.3">
      <c r="C700"/>
      <c r="I700"/>
    </row>
    <row r="701" spans="3:9" ht="18" customHeight="1" x14ac:dyDescent="0.3">
      <c r="C701"/>
      <c r="I701"/>
    </row>
    <row r="702" spans="3:9" ht="18" customHeight="1" x14ac:dyDescent="0.3">
      <c r="C702"/>
      <c r="I702"/>
    </row>
    <row r="703" spans="3:9" ht="18" customHeight="1" x14ac:dyDescent="0.3">
      <c r="C703"/>
      <c r="I703"/>
    </row>
    <row r="704" spans="3:9" ht="18" customHeight="1" x14ac:dyDescent="0.3">
      <c r="C704"/>
      <c r="I704"/>
    </row>
    <row r="705" spans="3:9" ht="18" customHeight="1" x14ac:dyDescent="0.3">
      <c r="C705"/>
      <c r="I705"/>
    </row>
    <row r="706" spans="3:9" ht="18" customHeight="1" x14ac:dyDescent="0.3">
      <c r="C706"/>
      <c r="I706"/>
    </row>
    <row r="707" spans="3:9" ht="18" customHeight="1" x14ac:dyDescent="0.3">
      <c r="C707"/>
      <c r="I707"/>
    </row>
    <row r="708" spans="3:9" ht="18" customHeight="1" x14ac:dyDescent="0.3">
      <c r="C708"/>
      <c r="I708"/>
    </row>
    <row r="709" spans="3:9" ht="18" customHeight="1" x14ac:dyDescent="0.3">
      <c r="C709"/>
      <c r="I709"/>
    </row>
    <row r="710" spans="3:9" ht="18" customHeight="1" x14ac:dyDescent="0.3">
      <c r="C710"/>
      <c r="I710"/>
    </row>
    <row r="711" spans="3:9" ht="18" customHeight="1" x14ac:dyDescent="0.3">
      <c r="C711"/>
      <c r="I711"/>
    </row>
    <row r="712" spans="3:9" ht="18" customHeight="1" x14ac:dyDescent="0.3">
      <c r="C712"/>
      <c r="I712"/>
    </row>
    <row r="713" spans="3:9" ht="18" customHeight="1" x14ac:dyDescent="0.3">
      <c r="C713"/>
      <c r="I713"/>
    </row>
    <row r="714" spans="3:9" ht="18" customHeight="1" x14ac:dyDescent="0.3">
      <c r="C714"/>
      <c r="I714"/>
    </row>
    <row r="715" spans="3:9" ht="18" customHeight="1" x14ac:dyDescent="0.3">
      <c r="C715"/>
      <c r="I715"/>
    </row>
    <row r="716" spans="3:9" ht="18" customHeight="1" x14ac:dyDescent="0.3">
      <c r="C716"/>
      <c r="I716"/>
    </row>
    <row r="717" spans="3:9" ht="18" customHeight="1" x14ac:dyDescent="0.3">
      <c r="C717"/>
      <c r="I717"/>
    </row>
    <row r="718" spans="3:9" ht="18" customHeight="1" x14ac:dyDescent="0.3">
      <c r="C718"/>
      <c r="I718"/>
    </row>
    <row r="719" spans="3:9" ht="18" customHeight="1" x14ac:dyDescent="0.3">
      <c r="C719"/>
      <c r="I719"/>
    </row>
    <row r="720" spans="3:9" ht="18" customHeight="1" x14ac:dyDescent="0.3">
      <c r="C720"/>
      <c r="I720"/>
    </row>
    <row r="721" spans="3:9" ht="18" customHeight="1" x14ac:dyDescent="0.3">
      <c r="C721"/>
      <c r="I721"/>
    </row>
    <row r="722" spans="3:9" ht="18" customHeight="1" x14ac:dyDescent="0.3">
      <c r="C722"/>
      <c r="I722"/>
    </row>
    <row r="723" spans="3:9" ht="18" customHeight="1" x14ac:dyDescent="0.3">
      <c r="C723"/>
      <c r="I723"/>
    </row>
    <row r="724" spans="3:9" ht="18" customHeight="1" x14ac:dyDescent="0.3">
      <c r="C724"/>
      <c r="I724"/>
    </row>
    <row r="725" spans="3:9" ht="18" customHeight="1" x14ac:dyDescent="0.3">
      <c r="C725"/>
      <c r="I725"/>
    </row>
    <row r="726" spans="3:9" ht="18" customHeight="1" x14ac:dyDescent="0.3">
      <c r="C726"/>
      <c r="I726"/>
    </row>
    <row r="727" spans="3:9" ht="18" customHeight="1" x14ac:dyDescent="0.3">
      <c r="C727"/>
      <c r="I727"/>
    </row>
    <row r="728" spans="3:9" ht="18" customHeight="1" x14ac:dyDescent="0.3">
      <c r="C728"/>
      <c r="I728"/>
    </row>
    <row r="729" spans="3:9" ht="18" customHeight="1" x14ac:dyDescent="0.3">
      <c r="C729"/>
      <c r="I729"/>
    </row>
    <row r="730" spans="3:9" ht="18" customHeight="1" x14ac:dyDescent="0.3">
      <c r="C730"/>
      <c r="I730"/>
    </row>
    <row r="731" spans="3:9" ht="18" customHeight="1" x14ac:dyDescent="0.3">
      <c r="C731"/>
      <c r="I731"/>
    </row>
    <row r="732" spans="3:9" ht="18" customHeight="1" x14ac:dyDescent="0.3">
      <c r="C732"/>
      <c r="I732"/>
    </row>
    <row r="733" spans="3:9" ht="18" customHeight="1" x14ac:dyDescent="0.3">
      <c r="C733"/>
      <c r="I733"/>
    </row>
    <row r="734" spans="3:9" ht="18" customHeight="1" x14ac:dyDescent="0.3">
      <c r="C734"/>
      <c r="I734"/>
    </row>
    <row r="735" spans="3:9" ht="18" customHeight="1" x14ac:dyDescent="0.3">
      <c r="C735"/>
      <c r="I735"/>
    </row>
    <row r="736" spans="3:9" ht="18" customHeight="1" x14ac:dyDescent="0.3">
      <c r="C736"/>
      <c r="I736"/>
    </row>
    <row r="737" spans="3:9" ht="18" customHeight="1" x14ac:dyDescent="0.3">
      <c r="C737"/>
      <c r="I737"/>
    </row>
    <row r="738" spans="3:9" ht="18" customHeight="1" x14ac:dyDescent="0.3">
      <c r="C738"/>
      <c r="I738"/>
    </row>
    <row r="739" spans="3:9" ht="18" customHeight="1" x14ac:dyDescent="0.3">
      <c r="C739"/>
      <c r="I739"/>
    </row>
    <row r="740" spans="3:9" ht="18" customHeight="1" x14ac:dyDescent="0.3">
      <c r="C740"/>
      <c r="I740"/>
    </row>
    <row r="741" spans="3:9" ht="18" customHeight="1" x14ac:dyDescent="0.3">
      <c r="C741"/>
      <c r="I741"/>
    </row>
    <row r="742" spans="3:9" ht="18" customHeight="1" x14ac:dyDescent="0.3">
      <c r="C742"/>
      <c r="I742"/>
    </row>
    <row r="743" spans="3:9" ht="18" customHeight="1" x14ac:dyDescent="0.3">
      <c r="C743"/>
      <c r="I743"/>
    </row>
    <row r="744" spans="3:9" ht="18" customHeight="1" x14ac:dyDescent="0.3">
      <c r="C744"/>
      <c r="I744"/>
    </row>
    <row r="745" spans="3:9" ht="18" customHeight="1" x14ac:dyDescent="0.3">
      <c r="C745"/>
      <c r="I745"/>
    </row>
    <row r="746" spans="3:9" ht="18" customHeight="1" x14ac:dyDescent="0.3">
      <c r="C746"/>
      <c r="I746"/>
    </row>
    <row r="747" spans="3:9" ht="18" customHeight="1" x14ac:dyDescent="0.3">
      <c r="C747"/>
      <c r="I747"/>
    </row>
    <row r="748" spans="3:9" ht="18" customHeight="1" x14ac:dyDescent="0.3">
      <c r="I748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A91E7-66B5-4D43-A4A9-DD82F26F3EA0}">
  <sheetPr codeName="Planilha8"/>
  <dimension ref="B2:N24"/>
  <sheetViews>
    <sheetView showGridLines="0" zoomScale="85" zoomScaleNormal="85" workbookViewId="0">
      <selection activeCell="M19" sqref="M19"/>
    </sheetView>
  </sheetViews>
  <sheetFormatPr defaultRowHeight="16.8" x14ac:dyDescent="0.3"/>
  <cols>
    <col min="1" max="1" width="8.88671875" style="1"/>
    <col min="2" max="2" width="19" style="1" customWidth="1"/>
    <col min="3" max="3" width="11.5546875" style="1" customWidth="1"/>
    <col min="4" max="6" width="8.88671875" style="1"/>
    <col min="7" max="7" width="14.33203125" style="1" bestFit="1" customWidth="1"/>
    <col min="8" max="12" width="8.88671875" style="1"/>
    <col min="13" max="13" width="29.21875" style="1" customWidth="1"/>
    <col min="14" max="16384" width="8.88671875" style="1"/>
  </cols>
  <sheetData>
    <row r="2" spans="2:14" x14ac:dyDescent="0.3">
      <c r="B2" s="6" t="s">
        <v>4</v>
      </c>
      <c r="M2" s="6" t="s">
        <v>64</v>
      </c>
    </row>
    <row r="3" spans="2:14" x14ac:dyDescent="0.3">
      <c r="B3" s="39" t="s">
        <v>127</v>
      </c>
      <c r="M3" s="33" t="s">
        <v>94</v>
      </c>
    </row>
    <row r="4" spans="2:14" x14ac:dyDescent="0.3">
      <c r="M4" s="43" t="s">
        <v>65</v>
      </c>
    </row>
    <row r="5" spans="2:14" x14ac:dyDescent="0.3">
      <c r="B5" s="6" t="s">
        <v>5</v>
      </c>
      <c r="M5" s="33" t="s">
        <v>95</v>
      </c>
    </row>
    <row r="6" spans="2:14" x14ac:dyDescent="0.3">
      <c r="B6" s="39" t="s">
        <v>128</v>
      </c>
      <c r="M6" s="33" t="s">
        <v>96</v>
      </c>
    </row>
    <row r="7" spans="2:14" x14ac:dyDescent="0.3">
      <c r="M7" s="33" t="s">
        <v>97</v>
      </c>
    </row>
    <row r="8" spans="2:14" ht="16.8" customHeight="1" x14ac:dyDescent="0.3">
      <c r="B8" s="6" t="s">
        <v>6</v>
      </c>
      <c r="D8" s="4"/>
      <c r="E8" s="4"/>
      <c r="F8" s="4"/>
      <c r="G8" s="4"/>
      <c r="H8" s="4"/>
      <c r="I8" s="4"/>
      <c r="J8" s="4"/>
      <c r="K8" s="4"/>
      <c r="M8" s="33" t="s">
        <v>98</v>
      </c>
    </row>
    <row r="9" spans="2:14" ht="16.8" customHeight="1" x14ac:dyDescent="0.3">
      <c r="B9" s="67" t="s">
        <v>155</v>
      </c>
      <c r="C9" s="68"/>
      <c r="D9" s="68"/>
      <c r="E9" s="68"/>
      <c r="F9" s="68"/>
      <c r="G9" s="68"/>
      <c r="H9" s="68"/>
      <c r="I9" s="4"/>
      <c r="J9" s="4"/>
      <c r="K9" s="4"/>
    </row>
    <row r="10" spans="2:14" x14ac:dyDescent="0.3">
      <c r="B10" s="68"/>
      <c r="C10" s="68"/>
      <c r="D10" s="68"/>
      <c r="E10" s="68"/>
      <c r="F10" s="68"/>
      <c r="G10" s="68"/>
      <c r="H10" s="68"/>
      <c r="I10" s="4"/>
      <c r="J10" s="4"/>
      <c r="K10" s="4"/>
    </row>
    <row r="11" spans="2:14" x14ac:dyDescent="0.3">
      <c r="B11" s="68"/>
      <c r="C11" s="68"/>
      <c r="D11" s="68"/>
      <c r="E11" s="68"/>
      <c r="F11" s="68"/>
      <c r="G11" s="68"/>
      <c r="H11" s="68"/>
      <c r="I11" s="4"/>
      <c r="J11" s="4"/>
      <c r="K11" s="4"/>
      <c r="M11" s="6" t="s">
        <v>156</v>
      </c>
      <c r="N11" s="28" t="s">
        <v>99</v>
      </c>
    </row>
    <row r="12" spans="2:14" x14ac:dyDescent="0.3">
      <c r="B12" s="68"/>
      <c r="C12" s="68"/>
      <c r="D12" s="68"/>
      <c r="E12" s="68"/>
      <c r="F12" s="68"/>
      <c r="G12" s="68"/>
      <c r="H12" s="68"/>
      <c r="I12" s="3"/>
      <c r="J12" s="3"/>
      <c r="K12" s="3"/>
      <c r="M12" s="43" t="s">
        <v>129</v>
      </c>
    </row>
    <row r="13" spans="2:14" x14ac:dyDescent="0.3">
      <c r="B13" s="4"/>
      <c r="C13" s="4"/>
      <c r="D13" s="4"/>
      <c r="E13" s="4"/>
      <c r="F13" s="4"/>
      <c r="G13" s="4"/>
      <c r="H13" s="4"/>
      <c r="I13" s="4"/>
      <c r="M13" s="43" t="s">
        <v>116</v>
      </c>
    </row>
    <row r="14" spans="2:14" x14ac:dyDescent="0.3">
      <c r="B14" s="6" t="s">
        <v>7</v>
      </c>
      <c r="M14" s="39" t="s">
        <v>117</v>
      </c>
    </row>
    <row r="15" spans="2:14" x14ac:dyDescent="0.3">
      <c r="B15" s="1" t="s">
        <v>8</v>
      </c>
    </row>
    <row r="16" spans="2:14" x14ac:dyDescent="0.3">
      <c r="B16" s="1" t="s">
        <v>9</v>
      </c>
    </row>
    <row r="17" spans="2:13" x14ac:dyDescent="0.3">
      <c r="B17" s="1" t="s">
        <v>10</v>
      </c>
      <c r="M17" s="43" t="s">
        <v>98</v>
      </c>
    </row>
    <row r="18" spans="2:13" x14ac:dyDescent="0.3">
      <c r="B18" s="1" t="s">
        <v>11</v>
      </c>
      <c r="M18" s="43"/>
    </row>
    <row r="19" spans="2:13" x14ac:dyDescent="0.3">
      <c r="B19" s="1" t="s">
        <v>12</v>
      </c>
    </row>
    <row r="20" spans="2:13" x14ac:dyDescent="0.3">
      <c r="B20" s="1" t="s">
        <v>13</v>
      </c>
    </row>
    <row r="21" spans="2:13" x14ac:dyDescent="0.3">
      <c r="B21" s="39" t="s">
        <v>133</v>
      </c>
    </row>
    <row r="23" spans="2:13" x14ac:dyDescent="0.3">
      <c r="B23" s="6" t="s">
        <v>14</v>
      </c>
    </row>
    <row r="24" spans="2:13" x14ac:dyDescent="0.3">
      <c r="B24" s="1" t="s">
        <v>15</v>
      </c>
    </row>
  </sheetData>
  <mergeCells count="1">
    <mergeCell ref="B9:H12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Menu</vt:lpstr>
      <vt:lpstr>Base</vt:lpstr>
      <vt:lpstr>Dinâmicas</vt:lpstr>
      <vt:lpstr>Apoio</vt:lpstr>
      <vt:lpstr>Dashboard</vt:lpstr>
      <vt:lpstr>Setores</vt:lpstr>
      <vt:lpstr>Instruções</vt:lpstr>
      <vt:lpstr>dash1</vt:lpstr>
      <vt:lpstr>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</dc:creator>
  <cp:lastModifiedBy>Priscila.vilardi</cp:lastModifiedBy>
  <dcterms:created xsi:type="dcterms:W3CDTF">2019-03-07T00:57:53Z</dcterms:created>
  <dcterms:modified xsi:type="dcterms:W3CDTF">2025-10-15T17:30:24Z</dcterms:modified>
</cp:coreProperties>
</file>